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d62dd3e7d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2da49b14c351435e"/>
    <x:sheet xmlns:r="http://schemas.openxmlformats.org/officeDocument/2006/relationships" name="Dashboard" sheetId="2" r:id="R80564703bef7496a"/>
    <x:sheet xmlns:r="http://schemas.openxmlformats.org/officeDocument/2006/relationships" name="Lists" sheetId="3" r:id="R76f46d9606834910"/>
    <x:sheet xmlns:r="http://schemas.openxmlformats.org/officeDocument/2006/relationships" name="Won / Dead Leads" sheetId="4" r:id="R5dc81478dc33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72c18e3114b81" /><Relationship Type="http://schemas.openxmlformats.org/officeDocument/2006/relationships/theme" Target="/xl/theme/theme1.xml" Id="R2bea6237512347b7" /><Relationship Type="http://schemas.openxmlformats.org/officeDocument/2006/relationships/sharedStrings" Target="/xl/sharedStrings.xml" Id="R069af3f6cb8b48e6" /><Relationship Type="http://schemas.openxmlformats.org/officeDocument/2006/relationships/worksheet" Target="/xl/worksheets/sheet1.xml" Id="R2da49b14c351435e" /><Relationship Type="http://schemas.openxmlformats.org/officeDocument/2006/relationships/worksheet" Target="/xl/worksheets/sheet2.xml" Id="R80564703bef7496a" /><Relationship Type="http://schemas.openxmlformats.org/officeDocument/2006/relationships/worksheet" Target="/xl/worksheets/sheet3.xml" Id="R76f46d9606834910" /><Relationship Type="http://schemas.openxmlformats.org/officeDocument/2006/relationships/worksheet" Target="/xl/worksheets/sheet4.xml" Id="R5dc81478dc3344e3" /></Relationships>
</file>

<file path=xl/tables/table1.xml><?xml version="1.0" encoding="utf-8"?>
<x:table xmlns:x="http://schemas.openxmlformats.org/spreadsheetml/2006/main" id="1" name="ProspectsTable" displayName="ProspectsTable" ref="A1:R101" headerRowCount="1">
  <x:tableColumns count="18">
    <x:tableColumn id="1" name="Business Name"/>
    <x:tableColumn id="2" name="Category"/>
    <x:tableColumn id="3" name="Website"/>
    <x:tableColumn id="4" name="Contact Name"/>
    <x:tableColumn id="5" name="Email / Phone / FB"/>
    <x:tableColumn id="6" name="Channel"/>
    <x:tableColumn id="7" name="Source URL"/>
    <x:tableColumn id="8" name="First Message Sent"/>
    <x:tableColumn id="9" name="Follow-Up 1 Due"/>
    <x:tableColumn id="10" name="Follow-Up 1 Sent"/>
    <x:tableColumn id="11" name="Final Follow-Up Due"/>
    <x:tableColumn id="12" name="Final Follow-Up Sent"/>
    <x:tableColumn id="13" name="Status"/>
    <x:tableColumn id="14" name="Priority"/>
    <x:tableColumn id="15" name="Opportunity Type"/>
    <x:tableColumn id="16" name="Notes"/>
    <x:tableColumn id="17" name="Next Action"/>
    <x:tableColumn id="18" name="Days Since S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ecced0d45f4d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8" hidden="0" customWidth="1"/>
    <x:col min="5" max="5" width="28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42" hidden="0" customWidth="1"/>
    <x:col min="17" max="17" width="26" hidden="0" customWidth="1"/>
    <x:col min="18" max="18" width="14" hidden="0" customWidth="1"/>
  </x:cols>
  <x:sheetData>
    <x:row r="1" ht="28" customHeight="1">
      <x:c r="A1" s="10" t="str">
        <x:v>Business Name</x:v>
      </x:c>
      <x:c r="B1" s="10" t="str">
        <x:v>Category</x:v>
      </x:c>
      <x:c r="C1" s="10" t="str">
        <x:v>Website</x:v>
      </x:c>
      <x:c r="D1" s="10" t="str">
        <x:v>Contact Name</x:v>
      </x:c>
      <x:c r="E1" s="10" t="str">
        <x:v>Email / Phone / FB</x:v>
      </x:c>
      <x:c r="F1" s="10" t="str">
        <x:v>Channel</x:v>
      </x:c>
      <x:c r="G1" s="10" t="str">
        <x:v>Source URL</x:v>
      </x:c>
      <x:c r="H1" s="12" t="str">
        <x:v>First Message Sent</x:v>
      </x:c>
      <x:c r="I1" s="12" t="str">
        <x:v>Follow-Up 1 Due</x:v>
      </x:c>
      <x:c r="J1" s="12" t="str">
        <x:v>Follow-Up 1 Sent</x:v>
      </x:c>
      <x:c r="K1" s="12" t="str">
        <x:v>Final Follow-Up Due</x:v>
      </x:c>
      <x:c r="L1" s="12" t="str">
        <x:v>Final Follow-Up Sent</x:v>
      </x:c>
      <x:c r="M1" s="10" t="str">
        <x:v>Status</x:v>
      </x:c>
      <x:c r="N1" s="10" t="str">
        <x:v>Priority</x:v>
      </x:c>
      <x:c r="O1" s="10" t="str">
        <x:v>Opportunity Type</x:v>
      </x:c>
      <x:c r="P1" s="10" t="str">
        <x:v>Notes</x:v>
      </x:c>
      <x:c r="Q1" s="10" t="str">
        <x:v>Next Action</x:v>
      </x:c>
      <x:c r="R1" s="14" t="str">
        <x:v>Days Since Sent</x:v>
      </x:c>
    </x:row>
    <x:row r="2">
      <x:c r="A2" t="str">
        <x:v>Scanlan Construction</x:v>
      </x:c>
      <x:c r="B2" t="str">
        <x:v>Construction</x:v>
      </x:c>
      <x:c r="C2" t="str">
        <x:v>N/A</x:v>
      </x:c>
      <x:c r="D2" t="str"/>
      <x:c r="E2" t="str">
        <x:v>(937) 322-3700</x:v>
      </x:c>
      <x:c r="F2" t="str">
        <x:v>Phone</x:v>
      </x:c>
      <x:c r="G2" t="str"/>
      <x:c r="H2" t="n">
        <x:v>46196</x:v>
      </x:c>
      <x:c r="I2" t="n">
        <x:f>IF(H2="","",IF(OR(F2="Facebook",F2="FB",F2="Message"),WORKDAY(H2,4),WORKDAY(H2,3)))</x:f>
        <x:v>46199</x:v>
      </x:c>
      <x:c r="J2" t="str"/>
      <x:c r="K2" t="n">
        <x:f>IF(H2="","",WORKDAY(H2,8))</x:f>
        <x:v>46206</x:v>
      </x:c>
      <x:c r="L2" t="str"/>
      <x:c r="M2" t="str">
        <x:v>Sent</x:v>
      </x:c>
      <x:c r="N2" t="str">
        <x:v>High</x:v>
      </x:c>
      <x:c r="O2" t="str">
        <x:v>Website; Google Business Profile; Lead Flow</x:v>
      </x:c>
      <x:c r="P2" t="str">
        <x:v>No website angle. Established contractor reputation; simple professional web presence could help.</x:v>
      </x:c>
      <x:c r="Q2" t="str">
        <x:f>IF(OR(M2="Not Contacted",M2="Drafted"),"Send first message",IF(OR(M2="Won",M2="Lost",M2="No Response"),"Archive / no action",IF(AND(H2&lt;&gt;"",J2="",I2&lt;=TODAY()),"Send follow-up 1",IF(AND(H2&lt;&gt;"",J2&lt;&gt;"",L2="",K2&lt;=TODAY()),"Send final follow-up",IF(M2="Interested","Send 3-point mini-audit",IF(M2="Audit Sent","Schedule call / proposal","Monitor"))))))</x:f>
        <x:v>Monitor</x:v>
      </x:c>
      <x:c r="R2" t="n">
        <x:f>IF(H2="","",TODAY()-H2)</x:f>
        <x:v>0</x:v>
      </x:c>
    </x:row>
    <x:row r="3">
      <x:c r="A3" t="str">
        <x:v>Scholl Surveying</x:v>
      </x:c>
      <x:c r="B3" t="str">
        <x:v>Surveying</x:v>
      </x:c>
      <x:c r="C3" t="str">
        <x:v>N/A</x:v>
      </x:c>
      <x:c r="D3" t="str"/>
      <x:c r="E3" t="str">
        <x:v>schollsurveying@yahoo.com</x:v>
      </x:c>
      <x:c r="F3" t="str">
        <x:v>Email</x:v>
      </x:c>
      <x:c r="G3" t="str"/>
      <x:c r="H3" t="n">
        <x:v>46196</x:v>
      </x:c>
      <x:c r="I3" t="n">
        <x:f>IF(H3="","",IF(OR(F3="Facebook",F3="FB",F3="Message"),WORKDAY(H3,4),WORKDAY(H3,3)))</x:f>
        <x:v>46199</x:v>
      </x:c>
      <x:c r="J3" t="str"/>
      <x:c r="K3" t="n">
        <x:f>IF(H3="","",WORKDAY(H3,8))</x:f>
        <x:v>46206</x:v>
      </x:c>
      <x:c r="L3" t="str"/>
      <x:c r="M3" t="str">
        <x:v>Sent</x:v>
      </x:c>
      <x:c r="N3" t="str">
        <x:v>High</x:v>
      </x:c>
      <x:c r="O3" t="str">
        <x:v>Website; Email / Domain; Google Business Profile</x:v>
      </x:c>
      <x:c r="P3" t="str">
        <x:v>No website + Yahoo email. Trust-heavy professional service.</x:v>
      </x:c>
      <x:c r="Q3" t="str">
        <x:f>IF(OR(M3="Not Contacted",M3="Drafted"),"Send first message",IF(OR(M3="Won",M3="Lost",M3="No Response"),"Archive / no action",IF(AND(H3&lt;&gt;"",J3="",I3&lt;=TODAY()),"Send follow-up 1",IF(AND(H3&lt;&gt;"",J3&lt;&gt;"",L3="",K3&lt;=TODAY()),"Send final follow-up",IF(M3="Interested","Send 3-point mini-audit",IF(M3="Audit Sent","Schedule call / proposal","Monitor"))))))</x:f>
        <x:v>Monitor</x:v>
      </x:c>
      <x:c r="R3" t="n">
        <x:f>IF(H3="","",TODAY()-H3)</x:f>
        <x:v>0</x:v>
      </x:c>
    </x:row>
    <x:row r="4">
      <x:c r="A4" t="str">
        <x:v>Scout’s Cafe</x:v>
      </x:c>
      <x:c r="B4" t="str">
        <x:v>Cafe</x:v>
      </x:c>
      <x:c r="C4" t="str">
        <x:v>N/A / Facebook</x:v>
      </x:c>
      <x:c r="D4" t="str"/>
      <x:c r="E4" t="str">
        <x:v>Facebook</x:v>
      </x:c>
      <x:c r="F4" t="str">
        <x:v>Facebook</x:v>
      </x:c>
      <x:c r="G4" t="str"/>
      <x:c r="H4" t="n">
        <x:v>46196</x:v>
      </x:c>
      <x:c r="I4" t="n">
        <x:f>IF(H4="","",IF(OR(F4="Facebook",F4="FB",F4="Message"),WORKDAY(H4,4),WORKDAY(H4,3)))</x:f>
        <x:v>46202</x:v>
      </x:c>
      <x:c r="J4" t="str"/>
      <x:c r="K4" t="n">
        <x:f>IF(H4="","",WORKDAY(H4,8))</x:f>
        <x:v>46206</x:v>
      </x:c>
      <x:c r="L4" t="str"/>
      <x:c r="M4" t="str">
        <x:v>Sent</x:v>
      </x:c>
      <x:c r="N4" t="str">
        <x:v>High</x:v>
      </x:c>
      <x:c r="O4" t="str">
        <x:v>Website; Google Business Profile; Social / Content</x:v>
      </x:c>
      <x:c r="P4" t="str">
        <x:v>Strong local following. Simple menu/hours/location landing page angle.</x:v>
      </x:c>
      <x:c r="Q4" t="str">
        <x:f>IF(OR(M4="Not Contacted",M4="Drafted"),"Send first message",IF(OR(M4="Won",M4="Lost",M4="No Response"),"Archive / no action",IF(AND(H4&lt;&gt;"",J4="",I4&lt;=TODAY()),"Send follow-up 1",IF(AND(H4&lt;&gt;"",J4&lt;&gt;"",L4="",K4&lt;=TODAY()),"Send final follow-up",IF(M4="Interested","Send 3-point mini-audit",IF(M4="Audit Sent","Schedule call / proposal","Monitor"))))))</x:f>
        <x:v>Monitor</x:v>
      </x:c>
      <x:c r="R4" t="n">
        <x:f>IF(H4="","",TODAY()-H4)</x:f>
        <x:v>0</x:v>
      </x:c>
    </x:row>
    <x:row r="5">
      <x:c r="A5" t="str">
        <x:v>Crown Market</x:v>
      </x:c>
      <x:c r="B5" t="str">
        <x:v>Market/Retail</x:v>
      </x:c>
      <x:c r="C5" t="str">
        <x:v>https://www.facebook.com/Crownmarketandcountrygardens</x:v>
      </x:c>
      <x:c r="D5" t="str"/>
      <x:c r="E5" t="str">
        <x:v>Facebook</x:v>
      </x:c>
      <x:c r="F5" t="str">
        <x:v>Facebook</x:v>
      </x:c>
      <x:c r="G5" t="str"/>
      <x:c r="H5" t="str"/>
      <x:c r="I5" t="str">
        <x:f>IF(H5="","",IF(OR(F5="Facebook",F5="FB",F5="Message"),WORKDAY(H5,4),WORKDAY(H5,3)))</x:f>
      </x:c>
      <x:c r="J5" t="str"/>
      <x:c r="K5" t="str">
        <x:f>IF(H5="","",WORKDAY(H5,8))</x:f>
      </x:c>
      <x:c r="L5" t="str"/>
      <x:c r="M5" t="str">
        <x:v>Drafted</x:v>
      </x:c>
      <x:c r="N5" t="str">
        <x:v>High</x:v>
      </x:c>
      <x:c r="O5" t="str">
        <x:v>Website; Google Business Profile; Social / Content</x:v>
      </x:c>
      <x:c r="P5" t="str">
        <x:v>Market + deli + greenhouse clarity. Facebook-only angle.</x:v>
      </x:c>
      <x:c r="Q5" t="str">
        <x:f>IF(OR(M5="Not Contacted",M5="Drafted"),"Send first message",IF(OR(M5="Won",M5="Lost",M5="No Response"),"Archive / no action",IF(AND(H5&lt;&gt;"",J5="",I5&lt;=TODAY()),"Send follow-up 1",IF(AND(H5&lt;&gt;"",J5&lt;&gt;"",L5="",K5&lt;=TODAY()),"Send final follow-up",IF(M5="Interested","Send 3-point mini-audit",IF(M5="Audit Sent","Schedule call / proposal","Monitor"))))))</x:f>
        <x:v>Send first message</x:v>
      </x:c>
      <x:c r="R5" t="str">
        <x:f>IF(H5="","",TODAY()-H5)</x:f>
      </x:c>
    </x:row>
    <x:row r="6">
      <x:c r="A6" t="str">
        <x:v>Mac’s Pet Salon</x:v>
      </x:c>
      <x:c r="B6" t="str">
        <x:v>Pet Services</x:v>
      </x:c>
      <x:c r="C6" t="str">
        <x:v>https://maclanthony.wixsite.com/mysite/contact</x:v>
      </x:c>
      <x:c r="D6" t="str"/>
      <x:c r="E6" t="str">
        <x:v>Website / Facebook</x:v>
      </x:c>
      <x:c r="F6" t="str">
        <x:v>Website Form</x:v>
      </x:c>
      <x:c r="G6" t="str"/>
      <x:c r="H6" t="str"/>
      <x:c r="I6" t="str">
        <x:f>IF(H6="","",IF(OR(F6="Facebook",F6="FB",F6="Message"),WORKDAY(H6,4),WORKDAY(H6,3)))</x:f>
      </x:c>
      <x:c r="J6" t="str"/>
      <x:c r="K6" t="str">
        <x:f>IF(H6="","",WORKDAY(H6,8))</x:f>
      </x:c>
      <x:c r="L6" t="str"/>
      <x:c r="M6" t="str">
        <x:v>Drafted</x:v>
      </x:c>
      <x:c r="N6" t="str">
        <x:v>High</x:v>
      </x:c>
      <x:c r="O6" t="str">
        <x:v>Website Refresh; Lead Flow; Google Business Profile</x:v>
      </x:c>
      <x:c r="P6" t="str">
        <x:v>Booking/service clarity. Existing Wix site could be improved.</x:v>
      </x:c>
      <x:c r="Q6" t="str">
        <x:f>IF(OR(M6="Not Contacted",M6="Drafted"),"Send first message",IF(OR(M6="Won",M6="Lost",M6="No Response"),"Archive / no action",IF(AND(H6&lt;&gt;"",J6="",I6&lt;=TODAY()),"Send follow-up 1",IF(AND(H6&lt;&gt;"",J6&lt;&gt;"",L6="",K6&lt;=TODAY()),"Send final follow-up",IF(M6="Interested","Send 3-point mini-audit",IF(M6="Audit Sent","Schedule call / proposal","Monitor"))))))</x:f>
        <x:v>Send first message</x:v>
      </x:c>
      <x:c r="R6" t="str">
        <x:f>IF(H6="","",TODAY()-H6)</x:f>
      </x:c>
    </x:row>
    <x:row r="7">
      <x:c r="A7" t="str">
        <x:v>Smith’s Market</x:v>
      </x:c>
      <x:c r="B7" t="str">
        <x:v>Market/Retail</x:v>
      </x:c>
      <x:c r="C7" t="str">
        <x:v>N/A</x:v>
      </x:c>
      <x:c r="D7" t="str"/>
      <x:c r="E7" t="str">
        <x:v>Unknown</x:v>
      </x:c>
      <x:c r="F7" t="str">
        <x:v>Phone</x:v>
      </x:c>
      <x:c r="G7" t="str"/>
      <x:c r="H7" t="str"/>
      <x:c r="I7" t="str">
        <x:f>IF(H7="","",IF(OR(F7="Facebook",F7="FB",F7="Message"),WORKDAY(H7,4),WORKDAY(H7,3)))</x:f>
      </x:c>
      <x:c r="J7" t="str"/>
      <x:c r="K7" t="str">
        <x:f>IF(H7="","",WORKDAY(H7,8))</x:f>
      </x:c>
      <x:c r="L7" t="str"/>
      <x:c r="M7" t="str">
        <x:v>Drafted</x:v>
      </x:c>
      <x:c r="N7" t="str">
        <x:v>Medium</x:v>
      </x:c>
      <x:c r="O7" t="str">
        <x:v>Website; Google Business Profile</x:v>
      </x:c>
      <x:c r="P7" t="str">
        <x:v>No obvious website. May be old-school; call or find Facebook.</x:v>
      </x:c>
      <x:c r="Q7" t="str">
        <x:f>IF(OR(M7="Not Contacted",M7="Drafted"),"Send first message",IF(OR(M7="Won",M7="Lost",M7="No Response"),"Archive / no action",IF(AND(H7&lt;&gt;"",J7="",I7&lt;=TODAY()),"Send follow-up 1",IF(AND(H7&lt;&gt;"",J7&lt;&gt;"",L7="",K7&lt;=TODAY()),"Send final follow-up",IF(M7="Interested","Send 3-point mini-audit",IF(M7="Audit Sent","Schedule call / proposal","Monitor"))))))</x:f>
        <x:v>Send first message</x:v>
      </x:c>
      <x:c r="R7" t="str">
        <x:f>IF(H7="","",TODAY()-H7)</x:f>
      </x:c>
    </x:row>
    <x:row r="8">
      <x:c r="A8" t="str">
        <x:v>C &amp; S Tree Service</x:v>
      </x:c>
      <x:c r="B8" t="str">
        <x:v>Tree Service</x:v>
      </x:c>
      <x:c r="C8" t="str">
        <x:v>https://www.cstreemulch.com/</x:v>
      </x:c>
      <x:c r="D8" t="str">
        <x:v>Anna</x:v>
      </x:c>
      <x:c r="E8" t="str">
        <x:v>anna@cstreemulch.com</x:v>
      </x:c>
      <x:c r="F8" t="str">
        <x:v>Email</x:v>
      </x:c>
      <x:c r="G8" t="str"/>
      <x:c r="H8" t="str"/>
      <x:c r="I8" t="str">
        <x:f>IF(H8="","",IF(OR(F8="Facebook",F8="FB",F8="Message"),WORKDAY(H8,4),WORKDAY(H8,3)))</x:f>
      </x:c>
      <x:c r="J8" t="str"/>
      <x:c r="K8" t="str">
        <x:f>IF(H8="","",WORKDAY(H8,8))</x:f>
      </x:c>
      <x:c r="L8" t="str"/>
      <x:c r="M8" t="str">
        <x:v>Drafted</x:v>
      </x:c>
      <x:c r="N8" t="str">
        <x:v>High</x:v>
      </x:c>
      <x:c r="O8" t="str">
        <x:v>Website Refresh; Lead Flow; Google Business Profile</x:v>
      </x:c>
      <x:c r="P8" t="str">
        <x:v>High-value emergency quote leads. Tree service search intent is strong.</x:v>
      </x:c>
      <x:c r="Q8" t="str">
        <x:f>IF(OR(M8="Not Contacted",M8="Drafted"),"Send first message",IF(OR(M8="Won",M8="Lost",M8="No Response"),"Archive / no action",IF(AND(H8&lt;&gt;"",J8="",I8&lt;=TODAY()),"Send follow-up 1",IF(AND(H8&lt;&gt;"",J8&lt;&gt;"",L8="",K8&lt;=TODAY()),"Send final follow-up",IF(M8="Interested","Send 3-point mini-audit",IF(M8="Audit Sent","Schedule call / proposal","Monitor"))))))</x:f>
        <x:v>Send first message</x:v>
      </x:c>
      <x:c r="R8" t="str">
        <x:f>IF(H8="","",TODAY()-H8)</x:f>
      </x:c>
    </x:row>
    <x:row r="9">
      <x:c r="A9" t="str">
        <x:v>Saber Engineering/Fabrication</x:v>
      </x:c>
      <x:c r="B9" t="str">
        <x:v>Engineering/Fabrication</x:v>
      </x:c>
      <x:c r="C9" t="str">
        <x:v>https://saber-inc.com/index.htm</x:v>
      </x:c>
      <x:c r="D9" t="str">
        <x:v>Tim P.</x:v>
      </x:c>
      <x:c r="E9" t="str">
        <x:v>timp@saber-inc.com</x:v>
      </x:c>
      <x:c r="F9" t="str">
        <x:v>Email</x:v>
      </x:c>
      <x:c r="G9" t="str"/>
      <x:c r="H9" t="str"/>
      <x:c r="I9" t="str">
        <x:f>IF(H9="","",IF(OR(F9="Facebook",F9="FB",F9="Message"),WORKDAY(H9,4),WORKDAY(H9,3)))</x:f>
      </x:c>
      <x:c r="J9" t="str"/>
      <x:c r="K9" t="str">
        <x:f>IF(H9="","",WORKDAY(H9,8))</x:f>
      </x:c>
      <x:c r="L9" t="str"/>
      <x:c r="M9" t="str">
        <x:v>Drafted</x:v>
      </x:c>
      <x:c r="N9" t="str">
        <x:v>Medium</x:v>
      </x:c>
      <x:c r="O9" t="str">
        <x:v>Website Refresh; Lead Flow; Security Cleanup</x:v>
      </x:c>
      <x:c r="P9" t="str">
        <x:v>Potentially larger project but slower sale. Capability/project portfolio angle.</x:v>
      </x:c>
      <x:c r="Q9" t="str">
        <x:f>IF(OR(M9="Not Contacted",M9="Drafted"),"Send first message",IF(OR(M9="Won",M9="Lost",M9="No Response"),"Archive / no action",IF(AND(H9&lt;&gt;"",J9="",I9&lt;=TODAY()),"Send follow-up 1",IF(AND(H9&lt;&gt;"",J9&lt;&gt;"",L9="",K9&lt;=TODAY()),"Send final follow-up",IF(M9="Interested","Send 3-point mini-audit",IF(M9="Audit Sent","Schedule call / proposal","Monitor"))))))</x:f>
        <x:v>Send first message</x:v>
      </x:c>
      <x:c r="R9" t="str">
        <x:f>IF(H9="","",TODAY()-H9)</x:f>
      </x:c>
    </x:row>
    <x:row r="10">
      <x:c r="A10" t="str">
        <x:v>Pritchet’s Shoe Service</x:v>
      </x:c>
      <x:c r="B10" t="str">
        <x:v>Shoe Repair</x:v>
      </x:c>
      <x:c r="C10" t="str">
        <x:v>https://www.facebook.com/pages/Pritchet's%20Shoe%20Service/168521999831840/#</x:v>
      </x:c>
      <x:c r="D10" t="str"/>
      <x:c r="E10" t="str">
        <x:v>Facebook</x:v>
      </x:c>
      <x:c r="F10" t="str">
        <x:v>Facebook</x:v>
      </x:c>
      <x:c r="G10" t="str"/>
      <x:c r="H10" t="str"/>
      <x:c r="I10" t="str">
        <x:f>IF(H10="","",IF(OR(F10="Facebook",F10="FB",F10="Message"),WORKDAY(H10,4),WORKDAY(H10,3)))</x:f>
      </x:c>
      <x:c r="J10" t="str"/>
      <x:c r="K10" t="str">
        <x:f>IF(H10="","",WORKDAY(H10,8))</x:f>
      </x:c>
      <x:c r="L10" t="str"/>
      <x:c r="M10" t="str">
        <x:v>Drafted</x:v>
      </x:c>
      <x:c r="N10" t="str">
        <x:v>Medium</x:v>
      </x:c>
      <x:c r="O10" t="str">
        <x:v>Website; Google Business Profile</x:v>
      </x:c>
      <x:c r="P10" t="str">
        <x:v>Simple local landing page opportunity.</x:v>
      </x:c>
      <x:c r="Q10" t="str">
        <x:f>IF(OR(M10="Not Contacted",M10="Drafted"),"Send first message",IF(OR(M10="Won",M10="Lost",M10="No Response"),"Archive / no action",IF(AND(H10&lt;&gt;"",J10="",I10&lt;=TODAY()),"Send follow-up 1",IF(AND(H10&lt;&gt;"",J10&lt;&gt;"",L10="",K10&lt;=TODAY()),"Send final follow-up",IF(M10="Interested","Send 3-point mini-audit",IF(M10="Audit Sent","Schedule call / proposal","Monitor"))))))</x:f>
        <x:v>Send first message</x:v>
      </x:c>
      <x:c r="R10" t="str">
        <x:f>IF(H10="","",TODAY()-H10)</x:f>
      </x:c>
    </x:row>
    <x:row r="11">
      <x:c r="A11" t="str">
        <x:v>Mariana’s Tacos Y Paletas</x:v>
      </x:c>
      <x:c r="B11" t="str">
        <x:v>Restaurant</x:v>
      </x:c>
      <x:c r="C11" t="str">
        <x:v>https://www.facebook.com/profile.php/?id=100063789773361</x:v>
      </x:c>
      <x:c r="D11" t="str"/>
      <x:c r="E11" t="str">
        <x:v>Facebook</x:v>
      </x:c>
      <x:c r="F11" t="str">
        <x:v>Facebook</x:v>
      </x:c>
      <x:c r="G11" t="str"/>
      <x:c r="H11" t="str"/>
      <x:c r="I11" t="str">
        <x:f>IF(H11="","",IF(OR(F11="Facebook",F11="FB",F11="Message"),WORKDAY(H11,4),WORKDAY(H11,3)))</x:f>
      </x:c>
      <x:c r="J11" t="str"/>
      <x:c r="K11" t="str">
        <x:f>IF(H11="","",WORKDAY(H11,8))</x:f>
      </x:c>
      <x:c r="L11" t="str"/>
      <x:c r="M11" t="str">
        <x:v>Drafted</x:v>
      </x:c>
      <x:c r="N11" t="str">
        <x:v>Medium</x:v>
      </x:c>
      <x:c r="O11" t="str">
        <x:v>Google Business Profile; Lead Flow; Social / Content</x:v>
      </x:c>
      <x:c r="P11" t="str">
        <x:v>Ordering/menu/hours flow; do not pitch full rebuild first.</x:v>
      </x:c>
      <x:c r="Q11" t="str">
        <x:f>IF(OR(M11="Not Contacted",M11="Drafted"),"Send first message",IF(OR(M11="Won",M11="Lost",M11="No Response"),"Archive / no action",IF(AND(H11&lt;&gt;"",J11="",I11&lt;=TODAY()),"Send follow-up 1",IF(AND(H11&lt;&gt;"",J11&lt;&gt;"",L11="",K11&lt;=TODAY()),"Send final follow-up",IF(M11="Interested","Send 3-point mini-audit",IF(M11="Audit Sent","Schedule call / proposal","Monitor"))))))</x:f>
        <x:v>Send first message</x:v>
      </x:c>
      <x:c r="R11" t="str">
        <x:f>IF(H11="","",TODAY()-H11)</x:f>
      </x:c>
    </x:row>
    <x:row r="12">
      <x:c r="A12" t="str">
        <x:v>Cason Roofing</x:v>
      </x:c>
      <x:c r="B12" t="str">
        <x:v>Roofing</x:v>
      </x:c>
      <x:c r="C12" t="str">
        <x:v>https://www.casonroofing.com/</x:v>
      </x:c>
      <x:c r="D12" t="str"/>
      <x:c r="E12" t="str">
        <x:v>CasonCares@casonroofing.com</x:v>
      </x:c>
      <x:c r="F12" t="str">
        <x:v>Email</x:v>
      </x:c>
      <x:c r="G12" t="str"/>
      <x:c r="H12" t="str"/>
      <x:c r="I12" t="str">
        <x:f>IF(H12="","",IF(OR(F12="Facebook",F12="FB",F12="Message"),WORKDAY(H12,4),WORKDAY(H12,3)))</x:f>
      </x:c>
      <x:c r="J12" t="str"/>
      <x:c r="K12" t="str">
        <x:f>IF(H12="","",WORKDAY(H12,8))</x:f>
      </x:c>
      <x:c r="L12" t="str"/>
      <x:c r="M12" t="str">
        <x:v>Drafted</x:v>
      </x:c>
      <x:c r="N12" t="str">
        <x:v>Low</x:v>
      </x:c>
      <x:c r="O12" t="str">
        <x:v>Lead Flow; Website Refresh; Security Cleanup</x:v>
      </x:c>
      <x:c r="P12" t="str">
        <x:v>Established site. Better angle is quote flow / storm damage pages / cleanup.</x:v>
      </x:c>
      <x:c r="Q12" t="str">
        <x:f>IF(OR(M12="Not Contacted",M12="Drafted"),"Send first message",IF(OR(M12="Won",M12="Lost",M12="No Response"),"Archive / no action",IF(AND(H12&lt;&gt;"",J12="",I12&lt;=TODAY()),"Send follow-up 1",IF(AND(H12&lt;&gt;"",J12&lt;&gt;"",L12="",K12&lt;=TODAY()),"Send final follow-up",IF(M12="Interested","Send 3-point mini-audit",IF(M12="Audit Sent","Schedule call / proposal","Monitor"))))))</x:f>
        <x:v>Send first message</x:v>
      </x:c>
      <x:c r="R12" t="str">
        <x:f>IF(H12="","",TODAY()-H12)</x:f>
      </x:c>
    </x:row>
    <x:row r="13">
      <x:c r="A13" t="str">
        <x:v>Garber Electrical Contractors</x:v>
      </x:c>
      <x:c r="B13" t="str">
        <x:v>Electrical</x:v>
      </x:c>
      <x:c r="C13" t="str">
        <x:v>https://www.garberelectric.com/</x:v>
      </x:c>
      <x:c r="D13" t="str"/>
      <x:c r="E13" t="str">
        <x:v>info@garberelectric.com</x:v>
      </x:c>
      <x:c r="F13" t="str">
        <x:v>Email</x:v>
      </x:c>
      <x:c r="G13" t="str"/>
      <x:c r="H13" t="str"/>
      <x:c r="I13" t="str">
        <x:f>IF(H13="","",IF(OR(F13="Facebook",F13="FB",F13="Message"),WORKDAY(H13,4),WORKDAY(H13,3)))</x:f>
      </x:c>
      <x:c r="J13" t="str"/>
      <x:c r="K13" t="str">
        <x:f>IF(H13="","",WORKDAY(H13,8))</x:f>
      </x:c>
      <x:c r="L13" t="str"/>
      <x:c r="M13" t="str">
        <x:v>Drafted</x:v>
      </x:c>
      <x:c r="N13" t="str">
        <x:v>Low</x:v>
      </x:c>
      <x:c r="O13" t="str">
        <x:v>Lead Flow; Website Refresh; Security Cleanup</x:v>
      </x:c>
      <x:c r="P13" t="str">
        <x:v>Mature business. Later-stage prospect.</x:v>
      </x:c>
      <x:c r="Q13" t="str">
        <x:f>IF(OR(M13="Not Contacted",M13="Drafted"),"Send first message",IF(OR(M13="Won",M13="Lost",M13="No Response"),"Archive / no action",IF(AND(H13&lt;&gt;"",J13="",I13&lt;=TODAY()),"Send follow-up 1",IF(AND(H13&lt;&gt;"",J13&lt;&gt;"",L13="",K13&lt;=TODAY()),"Send final follow-up",IF(M13="Interested","Send 3-point mini-audit",IF(M13="Audit Sent","Schedule call / proposal","Monitor"))))))</x:f>
        <x:v>Send first message</x:v>
      </x:c>
      <x:c r="R13" t="str">
        <x:f>IF(H13="","",TODAY()-H13)</x:f>
      </x:c>
    </x:row>
    <x:row r="14">
      <x:c r="I14" t="str">
        <x:f>IF(H14="","",IF(OR(F14="Facebook",F14="FB",F14="Message"),WORKDAY(H14,4),WORKDAY(H14,3)))</x:f>
      </x:c>
      <x:c r="K14" t="str">
        <x:f>IF(H14="","",WORKDAY(H14,8))</x:f>
      </x:c>
      <x:c r="Q14" t="str">
        <x:f>IF(OR(M14="Not Contacted",M14="Drafted"),"Send first message",IF(OR(M14="Won",M14="Lost",M14="No Response"),"Archive / no action",IF(AND(H14&lt;&gt;"",J14="",I14&lt;=TODAY()),"Send follow-up 1",IF(AND(H14&lt;&gt;"",J14&lt;&gt;"",L14="",K14&lt;=TODAY()),"Send final follow-up",IF(M14="Interested","Send 3-point mini-audit",IF(M14="Audit Sent","Schedule call / proposal","Monitor"))))))</x:f>
        <x:v>Monitor</x:v>
      </x:c>
      <x:c r="R14" t="str">
        <x:f>IF(H14="","",TODAY()-H14)</x:f>
      </x:c>
    </x:row>
    <x:row r="15">
      <x:c r="I15" t="str">
        <x:f>IF(H15="","",IF(OR(F15="Facebook",F15="FB",F15="Message"),WORKDAY(H15,4),WORKDAY(H15,3)))</x:f>
      </x:c>
      <x:c r="K15" t="str">
        <x:f>IF(H15="","",WORKDAY(H15,8))</x:f>
      </x:c>
      <x:c r="Q15" t="str">
        <x:f>IF(OR(M15="Not Contacted",M15="Drafted"),"Send first message",IF(OR(M15="Won",M15="Lost",M15="No Response"),"Archive / no action",IF(AND(H15&lt;&gt;"",J15="",I15&lt;=TODAY()),"Send follow-up 1",IF(AND(H15&lt;&gt;"",J15&lt;&gt;"",L15="",K15&lt;=TODAY()),"Send final follow-up",IF(M15="Interested","Send 3-point mini-audit",IF(M15="Audit Sent","Schedule call / proposal","Monitor"))))))</x:f>
        <x:v>Monitor</x:v>
      </x:c>
      <x:c r="R15" t="str">
        <x:f>IF(H15="","",TODAY()-H15)</x:f>
      </x:c>
    </x:row>
    <x:row r="16">
      <x:c r="I16" t="str">
        <x:f>IF(H16="","",IF(OR(F16="Facebook",F16="FB",F16="Message"),WORKDAY(H16,4),WORKDAY(H16,3)))</x:f>
      </x:c>
      <x:c r="K16" t="str">
        <x:f>IF(H16="","",WORKDAY(H16,8))</x:f>
      </x:c>
      <x:c r="Q16" t="str">
        <x:f>IF(OR(M16="Not Contacted",M16="Drafted"),"Send first message",IF(OR(M16="Won",M16="Lost",M16="No Response"),"Archive / no action",IF(AND(H16&lt;&gt;"",J16="",I16&lt;=TODAY()),"Send follow-up 1",IF(AND(H16&lt;&gt;"",J16&lt;&gt;"",L16="",K16&lt;=TODAY()),"Send final follow-up",IF(M16="Interested","Send 3-point mini-audit",IF(M16="Audit Sent","Schedule call / proposal","Monitor"))))))</x:f>
        <x:v>Monitor</x:v>
      </x:c>
      <x:c r="R16" t="str">
        <x:f>IF(H16="","",TODAY()-H16)</x:f>
      </x:c>
    </x:row>
    <x:row r="17">
      <x:c r="I17" t="str">
        <x:f>IF(H17="","",IF(OR(F17="Facebook",F17="FB",F17="Message"),WORKDAY(H17,4),WORKDAY(H17,3)))</x:f>
      </x:c>
      <x:c r="K17" t="str">
        <x:f>IF(H17="","",WORKDAY(H17,8))</x:f>
      </x:c>
      <x:c r="Q17" t="str">
        <x:f>IF(OR(M17="Not Contacted",M17="Drafted"),"Send first message",IF(OR(M17="Won",M17="Lost",M17="No Response"),"Archive / no action",IF(AND(H17&lt;&gt;"",J17="",I17&lt;=TODAY()),"Send follow-up 1",IF(AND(H17&lt;&gt;"",J17&lt;&gt;"",L17="",K17&lt;=TODAY()),"Send final follow-up",IF(M17="Interested","Send 3-point mini-audit",IF(M17="Audit Sent","Schedule call / proposal","Monitor"))))))</x:f>
        <x:v>Monitor</x:v>
      </x:c>
      <x:c r="R17" t="str">
        <x:f>IF(H17="","",TODAY()-H17)</x:f>
      </x:c>
    </x:row>
    <x:row r="18">
      <x:c r="I18" t="str">
        <x:f>IF(H18="","",IF(OR(F18="Facebook",F18="FB",F18="Message"),WORKDAY(H18,4),WORKDAY(H18,3)))</x:f>
      </x:c>
      <x:c r="K18" t="str">
        <x:f>IF(H18="","",WORKDAY(H18,8))</x:f>
      </x:c>
      <x:c r="Q18" t="str">
        <x:f>IF(OR(M18="Not Contacted",M18="Drafted"),"Send first message",IF(OR(M18="Won",M18="Lost",M18="No Response"),"Archive / no action",IF(AND(H18&lt;&gt;"",J18="",I18&lt;=TODAY()),"Send follow-up 1",IF(AND(H18&lt;&gt;"",J18&lt;&gt;"",L18="",K18&lt;=TODAY()),"Send final follow-up",IF(M18="Interested","Send 3-point mini-audit",IF(M18="Audit Sent","Schedule call / proposal","Monitor"))))))</x:f>
        <x:v>Monitor</x:v>
      </x:c>
      <x:c r="R18" t="str">
        <x:f>IF(H18="","",TODAY()-H18)</x:f>
      </x:c>
    </x:row>
    <x:row r="19">
      <x:c r="I19" t="str">
        <x:f>IF(H19="","",IF(OR(F19="Facebook",F19="FB",F19="Message"),WORKDAY(H19,4),WORKDAY(H19,3)))</x:f>
      </x:c>
      <x:c r="K19" t="str">
        <x:f>IF(H19="","",WORKDAY(H19,8))</x:f>
      </x:c>
      <x:c r="Q19" t="str">
        <x:f>IF(OR(M19="Not Contacted",M19="Drafted"),"Send first message",IF(OR(M19="Won",M19="Lost",M19="No Response"),"Archive / no action",IF(AND(H19&lt;&gt;"",J19="",I19&lt;=TODAY()),"Send follow-up 1",IF(AND(H19&lt;&gt;"",J19&lt;&gt;"",L19="",K19&lt;=TODAY()),"Send final follow-up",IF(M19="Interested","Send 3-point mini-audit",IF(M19="Audit Sent","Schedule call / proposal","Monitor"))))))</x:f>
        <x:v>Monitor</x:v>
      </x:c>
      <x:c r="R19" t="str">
        <x:f>IF(H19="","",TODAY()-H19)</x:f>
      </x:c>
    </x:row>
    <x:row r="20">
      <x:c r="I20" t="str">
        <x:f>IF(H20="","",IF(OR(F20="Facebook",F20="FB",F20="Message"),WORKDAY(H20,4),WORKDAY(H20,3)))</x:f>
      </x:c>
      <x:c r="K20" t="str">
        <x:f>IF(H20="","",WORKDAY(H20,8))</x:f>
      </x:c>
      <x:c r="Q20" t="str">
        <x:f>IF(OR(M20="Not Contacted",M20="Drafted"),"Send first message",IF(OR(M20="Won",M20="Lost",M20="No Response"),"Archive / no action",IF(AND(H20&lt;&gt;"",J20="",I20&lt;=TODAY()),"Send follow-up 1",IF(AND(H20&lt;&gt;"",J20&lt;&gt;"",L20="",K20&lt;=TODAY()),"Send final follow-up",IF(M20="Interested","Send 3-point mini-audit",IF(M20="Audit Sent","Schedule call / proposal","Monitor"))))))</x:f>
        <x:v>Monitor</x:v>
      </x:c>
      <x:c r="R20" t="str">
        <x:f>IF(H20="","",TODAY()-H20)</x:f>
      </x:c>
    </x:row>
    <x:row r="21">
      <x:c r="I21" t="str">
        <x:f>IF(H21="","",IF(OR(F21="Facebook",F21="FB",F21="Message"),WORKDAY(H21,4),WORKDAY(H21,3)))</x:f>
      </x:c>
      <x:c r="K21" t="str">
        <x:f>IF(H21="","",WORKDAY(H21,8))</x:f>
      </x:c>
      <x:c r="Q21" t="str">
        <x:f>IF(OR(M21="Not Contacted",M21="Drafted"),"Send first message",IF(OR(M21="Won",M21="Lost",M21="No Response"),"Archive / no action",IF(AND(H21&lt;&gt;"",J21="",I21&lt;=TODAY()),"Send follow-up 1",IF(AND(H21&lt;&gt;"",J21&lt;&gt;"",L21="",K21&lt;=TODAY()),"Send final follow-up",IF(M21="Interested","Send 3-point mini-audit",IF(M21="Audit Sent","Schedule call / proposal","Monitor"))))))</x:f>
        <x:v>Monitor</x:v>
      </x:c>
      <x:c r="R21" t="str">
        <x:f>IF(H21="","",TODAY()-H21)</x:f>
      </x:c>
    </x:row>
    <x:row r="22">
      <x:c r="I22" t="str">
        <x:f>IF(H22="","",IF(OR(F22="Facebook",F22="FB",F22="Message"),WORKDAY(H22,4),WORKDAY(H22,3)))</x:f>
      </x:c>
      <x:c r="K22" t="str">
        <x:f>IF(H22="","",WORKDAY(H22,8))</x:f>
      </x:c>
      <x:c r="Q22" t="str">
        <x:f>IF(OR(M22="Not Contacted",M22="Drafted"),"Send first message",IF(OR(M22="Won",M22="Lost",M22="No Response"),"Archive / no action",IF(AND(H22&lt;&gt;"",J22="",I22&lt;=TODAY()),"Send follow-up 1",IF(AND(H22&lt;&gt;"",J22&lt;&gt;"",L22="",K22&lt;=TODAY()),"Send final follow-up",IF(M22="Interested","Send 3-point mini-audit",IF(M22="Audit Sent","Schedule call / proposal","Monitor"))))))</x:f>
        <x:v>Monitor</x:v>
      </x:c>
      <x:c r="R22" t="str">
        <x:f>IF(H22="","",TODAY()-H22)</x:f>
      </x:c>
    </x:row>
    <x:row r="23">
      <x:c r="I23" t="str">
        <x:f>IF(H23="","",IF(OR(F23="Facebook",F23="FB",F23="Message"),WORKDAY(H23,4),WORKDAY(H23,3)))</x:f>
      </x:c>
      <x:c r="K23" t="str">
        <x:f>IF(H23="","",WORKDAY(H23,8))</x:f>
      </x:c>
      <x:c r="Q23" t="str">
        <x:f>IF(OR(M23="Not Contacted",M23="Drafted"),"Send first message",IF(OR(M23="Won",M23="Lost",M23="No Response"),"Archive / no action",IF(AND(H23&lt;&gt;"",J23="",I23&lt;=TODAY()),"Send follow-up 1",IF(AND(H23&lt;&gt;"",J23&lt;&gt;"",L23="",K23&lt;=TODAY()),"Send final follow-up",IF(M23="Interested","Send 3-point mini-audit",IF(M23="Audit Sent","Schedule call / proposal","Monitor"))))))</x:f>
        <x:v>Monitor</x:v>
      </x:c>
      <x:c r="R23" t="str">
        <x:f>IF(H23="","",TODAY()-H23)</x:f>
      </x:c>
    </x:row>
    <x:row r="24">
      <x:c r="I24" t="str">
        <x:f>IF(H24="","",IF(OR(F24="Facebook",F24="FB",F24="Message"),WORKDAY(H24,4),WORKDAY(H24,3)))</x:f>
      </x:c>
      <x:c r="K24" t="str">
        <x:f>IF(H24="","",WORKDAY(H24,8))</x:f>
      </x:c>
      <x:c r="Q24" t="str">
        <x:f>IF(OR(M24="Not Contacted",M24="Drafted"),"Send first message",IF(OR(M24="Won",M24="Lost",M24="No Response"),"Archive / no action",IF(AND(H24&lt;&gt;"",J24="",I24&lt;=TODAY()),"Send follow-up 1",IF(AND(H24&lt;&gt;"",J24&lt;&gt;"",L24="",K24&lt;=TODAY()),"Send final follow-up",IF(M24="Interested","Send 3-point mini-audit",IF(M24="Audit Sent","Schedule call / proposal","Monitor"))))))</x:f>
        <x:v>Monitor</x:v>
      </x:c>
      <x:c r="R24" t="str">
        <x:f>IF(H24="","",TODAY()-H24)</x:f>
      </x:c>
    </x:row>
    <x:row r="25">
      <x:c r="I25" t="str">
        <x:f>IF(H25="","",IF(OR(F25="Facebook",F25="FB",F25="Message"),WORKDAY(H25,4),WORKDAY(H25,3)))</x:f>
      </x:c>
      <x:c r="K25" t="str">
        <x:f>IF(H25="","",WORKDAY(H25,8))</x:f>
      </x:c>
      <x:c r="Q25" t="str">
        <x:f>IF(OR(M25="Not Contacted",M25="Drafted"),"Send first message",IF(OR(M25="Won",M25="Lost",M25="No Response"),"Archive / no action",IF(AND(H25&lt;&gt;"",J25="",I25&lt;=TODAY()),"Send follow-up 1",IF(AND(H25&lt;&gt;"",J25&lt;&gt;"",L25="",K25&lt;=TODAY()),"Send final follow-up",IF(M25="Interested","Send 3-point mini-audit",IF(M25="Audit Sent","Schedule call / proposal","Monitor"))))))</x:f>
        <x:v>Monitor</x:v>
      </x:c>
      <x:c r="R25" t="str">
        <x:f>IF(H25="","",TODAY()-H25)</x:f>
      </x:c>
    </x:row>
    <x:row r="26">
      <x:c r="I26" t="str">
        <x:f>IF(H26="","",IF(OR(F26="Facebook",F26="FB",F26="Message"),WORKDAY(H26,4),WORKDAY(H26,3)))</x:f>
      </x:c>
      <x:c r="K26" t="str">
        <x:f>IF(H26="","",WORKDAY(H26,8))</x:f>
      </x:c>
      <x:c r="Q26" t="str">
        <x:f>IF(OR(M26="Not Contacted",M26="Drafted"),"Send first message",IF(OR(M26="Won",M26="Lost",M26="No Response"),"Archive / no action",IF(AND(H26&lt;&gt;"",J26="",I26&lt;=TODAY()),"Send follow-up 1",IF(AND(H26&lt;&gt;"",J26&lt;&gt;"",L26="",K26&lt;=TODAY()),"Send final follow-up",IF(M26="Interested","Send 3-point mini-audit",IF(M26="Audit Sent","Schedule call / proposal","Monitor"))))))</x:f>
        <x:v>Monitor</x:v>
      </x:c>
      <x:c r="R26" t="str">
        <x:f>IF(H26="","",TODAY()-H26)</x:f>
      </x:c>
    </x:row>
    <x:row r="27">
      <x:c r="I27" t="str">
        <x:f>IF(H27="","",IF(OR(F27="Facebook",F27="FB",F27="Message"),WORKDAY(H27,4),WORKDAY(H27,3)))</x:f>
      </x:c>
      <x:c r="K27" t="str">
        <x:f>IF(H27="","",WORKDAY(H27,8))</x:f>
      </x:c>
      <x:c r="Q27" t="str">
        <x:f>IF(OR(M27="Not Contacted",M27="Drafted"),"Send first message",IF(OR(M27="Won",M27="Lost",M27="No Response"),"Archive / no action",IF(AND(H27&lt;&gt;"",J27="",I27&lt;=TODAY()),"Send follow-up 1",IF(AND(H27&lt;&gt;"",J27&lt;&gt;"",L27="",K27&lt;=TODAY()),"Send final follow-up",IF(M27="Interested","Send 3-point mini-audit",IF(M27="Audit Sent","Schedule call / proposal","Monitor"))))))</x:f>
        <x:v>Monitor</x:v>
      </x:c>
      <x:c r="R27" t="str">
        <x:f>IF(H27="","",TODAY()-H27)</x:f>
      </x:c>
    </x:row>
    <x:row r="28">
      <x:c r="I28" t="str">
        <x:f>IF(H28="","",IF(OR(F28="Facebook",F28="FB",F28="Message"),WORKDAY(H28,4),WORKDAY(H28,3)))</x:f>
      </x:c>
      <x:c r="K28" t="str">
        <x:f>IF(H28="","",WORKDAY(H28,8))</x:f>
      </x:c>
      <x:c r="Q28" t="str">
        <x:f>IF(OR(M28="Not Contacted",M28="Drafted"),"Send first message",IF(OR(M28="Won",M28="Lost",M28="No Response"),"Archive / no action",IF(AND(H28&lt;&gt;"",J28="",I28&lt;=TODAY()),"Send follow-up 1",IF(AND(H28&lt;&gt;"",J28&lt;&gt;"",L28="",K28&lt;=TODAY()),"Send final follow-up",IF(M28="Interested","Send 3-point mini-audit",IF(M28="Audit Sent","Schedule call / proposal","Monitor"))))))</x:f>
        <x:v>Monitor</x:v>
      </x:c>
      <x:c r="R28" t="str">
        <x:f>IF(H28="","",TODAY()-H28)</x:f>
      </x:c>
    </x:row>
    <x:row r="29">
      <x:c r="I29" t="str">
        <x:f>IF(H29="","",IF(OR(F29="Facebook",F29="FB",F29="Message"),WORKDAY(H29,4),WORKDAY(H29,3)))</x:f>
      </x:c>
      <x:c r="K29" t="str">
        <x:f>IF(H29="","",WORKDAY(H29,8))</x:f>
      </x:c>
      <x:c r="Q29" t="str">
        <x:f>IF(OR(M29="Not Contacted",M29="Drafted"),"Send first message",IF(OR(M29="Won",M29="Lost",M29="No Response"),"Archive / no action",IF(AND(H29&lt;&gt;"",J29="",I29&lt;=TODAY()),"Send follow-up 1",IF(AND(H29&lt;&gt;"",J29&lt;&gt;"",L29="",K29&lt;=TODAY()),"Send final follow-up",IF(M29="Interested","Send 3-point mini-audit",IF(M29="Audit Sent","Schedule call / proposal","Monitor"))))))</x:f>
        <x:v>Monitor</x:v>
      </x:c>
      <x:c r="R29" t="str">
        <x:f>IF(H29="","",TODAY()-H29)</x:f>
      </x:c>
    </x:row>
    <x:row r="30">
      <x:c r="I30" t="str">
        <x:f>IF(H30="","",IF(OR(F30="Facebook",F30="FB",F30="Message"),WORKDAY(H30,4),WORKDAY(H30,3)))</x:f>
      </x:c>
      <x:c r="K30" t="str">
        <x:f>IF(H30="","",WORKDAY(H30,8))</x:f>
      </x:c>
      <x:c r="Q30" t="str">
        <x:f>IF(OR(M30="Not Contacted",M30="Drafted"),"Send first message",IF(OR(M30="Won",M30="Lost",M30="No Response"),"Archive / no action",IF(AND(H30&lt;&gt;"",J30="",I30&lt;=TODAY()),"Send follow-up 1",IF(AND(H30&lt;&gt;"",J30&lt;&gt;"",L30="",K30&lt;=TODAY()),"Send final follow-up",IF(M30="Interested","Send 3-point mini-audit",IF(M30="Audit Sent","Schedule call / proposal","Monitor"))))))</x:f>
        <x:v>Monitor</x:v>
      </x:c>
      <x:c r="R30" t="str">
        <x:f>IF(H30="","",TODAY()-H30)</x:f>
      </x:c>
    </x:row>
    <x:row r="31">
      <x:c r="I31" t="str">
        <x:f>IF(H31="","",IF(OR(F31="Facebook",F31="FB",F31="Message"),WORKDAY(H31,4),WORKDAY(H31,3)))</x:f>
      </x:c>
      <x:c r="K31" t="str">
        <x:f>IF(H31="","",WORKDAY(H31,8))</x:f>
      </x:c>
      <x:c r="Q31" t="str">
        <x:f>IF(OR(M31="Not Contacted",M31="Drafted"),"Send first message",IF(OR(M31="Won",M31="Lost",M31="No Response"),"Archive / no action",IF(AND(H31&lt;&gt;"",J31="",I31&lt;=TODAY()),"Send follow-up 1",IF(AND(H31&lt;&gt;"",J31&lt;&gt;"",L31="",K31&lt;=TODAY()),"Send final follow-up",IF(M31="Interested","Send 3-point mini-audit",IF(M31="Audit Sent","Schedule call / proposal","Monitor"))))))</x:f>
        <x:v>Monitor</x:v>
      </x:c>
      <x:c r="R31" t="str">
        <x:f>IF(H31="","",TODAY()-H31)</x:f>
      </x:c>
    </x:row>
    <x:row r="32">
      <x:c r="I32" t="str">
        <x:f>IF(H32="","",IF(OR(F32="Facebook",F32="FB",F32="Message"),WORKDAY(H32,4),WORKDAY(H32,3)))</x:f>
      </x:c>
      <x:c r="K32" t="str">
        <x:f>IF(H32="","",WORKDAY(H32,8))</x:f>
      </x:c>
      <x:c r="Q32" t="str">
        <x:f>IF(OR(M32="Not Contacted",M32="Drafted"),"Send first message",IF(OR(M32="Won",M32="Lost",M32="No Response"),"Archive / no action",IF(AND(H32&lt;&gt;"",J32="",I32&lt;=TODAY()),"Send follow-up 1",IF(AND(H32&lt;&gt;"",J32&lt;&gt;"",L32="",K32&lt;=TODAY()),"Send final follow-up",IF(M32="Interested","Send 3-point mini-audit",IF(M32="Audit Sent","Schedule call / proposal","Monitor"))))))</x:f>
        <x:v>Monitor</x:v>
      </x:c>
      <x:c r="R32" t="str">
        <x:f>IF(H32="","",TODAY()-H32)</x:f>
      </x:c>
    </x:row>
    <x:row r="33">
      <x:c r="I33" t="str">
        <x:f>IF(H33="","",IF(OR(F33="Facebook",F33="FB",F33="Message"),WORKDAY(H33,4),WORKDAY(H33,3)))</x:f>
      </x:c>
      <x:c r="K33" t="str">
        <x:f>IF(H33="","",WORKDAY(H33,8))</x:f>
      </x:c>
      <x:c r="Q33" t="str">
        <x:f>IF(OR(M33="Not Contacted",M33="Drafted"),"Send first message",IF(OR(M33="Won",M33="Lost",M33="No Response"),"Archive / no action",IF(AND(H33&lt;&gt;"",J33="",I33&lt;=TODAY()),"Send follow-up 1",IF(AND(H33&lt;&gt;"",J33&lt;&gt;"",L33="",K33&lt;=TODAY()),"Send final follow-up",IF(M33="Interested","Send 3-point mini-audit",IF(M33="Audit Sent","Schedule call / proposal","Monitor"))))))</x:f>
        <x:v>Monitor</x:v>
      </x:c>
      <x:c r="R33" t="str">
        <x:f>IF(H33="","",TODAY()-H33)</x:f>
      </x:c>
    </x:row>
    <x:row r="34">
      <x:c r="I34" t="str">
        <x:f>IF(H34="","",IF(OR(F34="Facebook",F34="FB",F34="Message"),WORKDAY(H34,4),WORKDAY(H34,3)))</x:f>
      </x:c>
      <x:c r="K34" t="str">
        <x:f>IF(H34="","",WORKDAY(H34,8))</x:f>
      </x:c>
      <x:c r="Q34" t="str">
        <x:f>IF(OR(M34="Not Contacted",M34="Drafted"),"Send first message",IF(OR(M34="Won",M34="Lost",M34="No Response"),"Archive / no action",IF(AND(H34&lt;&gt;"",J34="",I34&lt;=TODAY()),"Send follow-up 1",IF(AND(H34&lt;&gt;"",J34&lt;&gt;"",L34="",K34&lt;=TODAY()),"Send final follow-up",IF(M34="Interested","Send 3-point mini-audit",IF(M34="Audit Sent","Schedule call / proposal","Monitor"))))))</x:f>
        <x:v>Monitor</x:v>
      </x:c>
      <x:c r="R34" t="str">
        <x:f>IF(H34="","",TODAY()-H34)</x:f>
      </x:c>
    </x:row>
    <x:row r="35">
      <x:c r="I35" t="str">
        <x:f>IF(H35="","",IF(OR(F35="Facebook",F35="FB",F35="Message"),WORKDAY(H35,4),WORKDAY(H35,3)))</x:f>
      </x:c>
      <x:c r="K35" t="str">
        <x:f>IF(H35="","",WORKDAY(H35,8))</x:f>
      </x:c>
      <x:c r="Q35" t="str">
        <x:f>IF(OR(M35="Not Contacted",M35="Drafted"),"Send first message",IF(OR(M35="Won",M35="Lost",M35="No Response"),"Archive / no action",IF(AND(H35&lt;&gt;"",J35="",I35&lt;=TODAY()),"Send follow-up 1",IF(AND(H35&lt;&gt;"",J35&lt;&gt;"",L35="",K35&lt;=TODAY()),"Send final follow-up",IF(M35="Interested","Send 3-point mini-audit",IF(M35="Audit Sent","Schedule call / proposal","Monitor"))))))</x:f>
        <x:v>Monitor</x:v>
      </x:c>
      <x:c r="R35" t="str">
        <x:f>IF(H35="","",TODAY()-H35)</x:f>
      </x:c>
    </x:row>
    <x:row r="36">
      <x:c r="I36" t="str">
        <x:f>IF(H36="","",IF(OR(F36="Facebook",F36="FB",F36="Message"),WORKDAY(H36,4),WORKDAY(H36,3)))</x:f>
      </x:c>
      <x:c r="K36" t="str">
        <x:f>IF(H36="","",WORKDAY(H36,8))</x:f>
      </x:c>
      <x:c r="Q36" t="str">
        <x:f>IF(OR(M36="Not Contacted",M36="Drafted"),"Send first message",IF(OR(M36="Won",M36="Lost",M36="No Response"),"Archive / no action",IF(AND(H36&lt;&gt;"",J36="",I36&lt;=TODAY()),"Send follow-up 1",IF(AND(H36&lt;&gt;"",J36&lt;&gt;"",L36="",K36&lt;=TODAY()),"Send final follow-up",IF(M36="Interested","Send 3-point mini-audit",IF(M36="Audit Sent","Schedule call / proposal","Monitor"))))))</x:f>
        <x:v>Monitor</x:v>
      </x:c>
      <x:c r="R36" t="str">
        <x:f>IF(H36="","",TODAY()-H36)</x:f>
      </x:c>
    </x:row>
    <x:row r="37">
      <x:c r="I37" t="str">
        <x:f>IF(H37="","",IF(OR(F37="Facebook",F37="FB",F37="Message"),WORKDAY(H37,4),WORKDAY(H37,3)))</x:f>
      </x:c>
      <x:c r="K37" t="str">
        <x:f>IF(H37="","",WORKDAY(H37,8))</x:f>
      </x:c>
      <x:c r="Q37" t="str">
        <x:f>IF(OR(M37="Not Contacted",M37="Drafted"),"Send first message",IF(OR(M37="Won",M37="Lost",M37="No Response"),"Archive / no action",IF(AND(H37&lt;&gt;"",J37="",I37&lt;=TODAY()),"Send follow-up 1",IF(AND(H37&lt;&gt;"",J37&lt;&gt;"",L37="",K37&lt;=TODAY()),"Send final follow-up",IF(M37="Interested","Send 3-point mini-audit",IF(M37="Audit Sent","Schedule call / proposal","Monitor"))))))</x:f>
        <x:v>Monitor</x:v>
      </x:c>
      <x:c r="R37" t="str">
        <x:f>IF(H37="","",TODAY()-H37)</x:f>
      </x:c>
    </x:row>
    <x:row r="38">
      <x:c r="I38" t="str">
        <x:f>IF(H38="","",IF(OR(F38="Facebook",F38="FB",F38="Message"),WORKDAY(H38,4),WORKDAY(H38,3)))</x:f>
      </x:c>
      <x:c r="K38" t="str">
        <x:f>IF(H38="","",WORKDAY(H38,8))</x:f>
      </x:c>
      <x:c r="Q38" t="str">
        <x:f>IF(OR(M38="Not Contacted",M38="Drafted"),"Send first message",IF(OR(M38="Won",M38="Lost",M38="No Response"),"Archive / no action",IF(AND(H38&lt;&gt;"",J38="",I38&lt;=TODAY()),"Send follow-up 1",IF(AND(H38&lt;&gt;"",J38&lt;&gt;"",L38="",K38&lt;=TODAY()),"Send final follow-up",IF(M38="Interested","Send 3-point mini-audit",IF(M38="Audit Sent","Schedule call / proposal","Monitor"))))))</x:f>
        <x:v>Monitor</x:v>
      </x:c>
      <x:c r="R38" t="str">
        <x:f>IF(H38="","",TODAY()-H38)</x:f>
      </x:c>
    </x:row>
    <x:row r="39">
      <x:c r="I39" t="str">
        <x:f>IF(H39="","",IF(OR(F39="Facebook",F39="FB",F39="Message"),WORKDAY(H39,4),WORKDAY(H39,3)))</x:f>
      </x:c>
      <x:c r="K39" t="str">
        <x:f>IF(H39="","",WORKDAY(H39,8))</x:f>
      </x:c>
      <x:c r="Q39" t="str">
        <x:f>IF(OR(M39="Not Contacted",M39="Drafted"),"Send first message",IF(OR(M39="Won",M39="Lost",M39="No Response"),"Archive / no action",IF(AND(H39&lt;&gt;"",J39="",I39&lt;=TODAY()),"Send follow-up 1",IF(AND(H39&lt;&gt;"",J39&lt;&gt;"",L39="",K39&lt;=TODAY()),"Send final follow-up",IF(M39="Interested","Send 3-point mini-audit",IF(M39="Audit Sent","Schedule call / proposal","Monitor"))))))</x:f>
        <x:v>Monitor</x:v>
      </x:c>
      <x:c r="R39" t="str">
        <x:f>IF(H39="","",TODAY()-H39)</x:f>
      </x:c>
    </x:row>
    <x:row r="40">
      <x:c r="I40" t="str">
        <x:f>IF(H40="","",IF(OR(F40="Facebook",F40="FB",F40="Message"),WORKDAY(H40,4),WORKDAY(H40,3)))</x:f>
      </x:c>
      <x:c r="K40" t="str">
        <x:f>IF(H40="","",WORKDAY(H40,8))</x:f>
      </x:c>
      <x:c r="Q40" t="str">
        <x:f>IF(OR(M40="Not Contacted",M40="Drafted"),"Send first message",IF(OR(M40="Won",M40="Lost",M40="No Response"),"Archive / no action",IF(AND(H40&lt;&gt;"",J40="",I40&lt;=TODAY()),"Send follow-up 1",IF(AND(H40&lt;&gt;"",J40&lt;&gt;"",L40="",K40&lt;=TODAY()),"Send final follow-up",IF(M40="Interested","Send 3-point mini-audit",IF(M40="Audit Sent","Schedule call / proposal","Monitor"))))))</x:f>
        <x:v>Monitor</x:v>
      </x:c>
      <x:c r="R40" t="str">
        <x:f>IF(H40="","",TODAY()-H40)</x:f>
      </x:c>
    </x:row>
    <x:row r="41">
      <x:c r="I41" t="str">
        <x:f>IF(H41="","",IF(OR(F41="Facebook",F41="FB",F41="Message"),WORKDAY(H41,4),WORKDAY(H41,3)))</x:f>
      </x:c>
      <x:c r="K41" t="str">
        <x:f>IF(H41="","",WORKDAY(H41,8))</x:f>
      </x:c>
      <x:c r="Q41" t="str">
        <x:f>IF(OR(M41="Not Contacted",M41="Drafted"),"Send first message",IF(OR(M41="Won",M41="Lost",M41="No Response"),"Archive / no action",IF(AND(H41&lt;&gt;"",J41="",I41&lt;=TODAY()),"Send follow-up 1",IF(AND(H41&lt;&gt;"",J41&lt;&gt;"",L41="",K41&lt;=TODAY()),"Send final follow-up",IF(M41="Interested","Send 3-point mini-audit",IF(M41="Audit Sent","Schedule call / proposal","Monitor"))))))</x:f>
        <x:v>Monitor</x:v>
      </x:c>
      <x:c r="R41" t="str">
        <x:f>IF(H41="","",TODAY()-H41)</x:f>
      </x:c>
    </x:row>
    <x:row r="42">
      <x:c r="I42" t="str">
        <x:f>IF(H42="","",IF(OR(F42="Facebook",F42="FB",F42="Message"),WORKDAY(H42,4),WORKDAY(H42,3)))</x:f>
      </x:c>
      <x:c r="K42" t="str">
        <x:f>IF(H42="","",WORKDAY(H42,8))</x:f>
      </x:c>
      <x:c r="Q42" t="str">
        <x:f>IF(OR(M42="Not Contacted",M42="Drafted"),"Send first message",IF(OR(M42="Won",M42="Lost",M42="No Response"),"Archive / no action",IF(AND(H42&lt;&gt;"",J42="",I42&lt;=TODAY()),"Send follow-up 1",IF(AND(H42&lt;&gt;"",J42&lt;&gt;"",L42="",K42&lt;=TODAY()),"Send final follow-up",IF(M42="Interested","Send 3-point mini-audit",IF(M42="Audit Sent","Schedule call / proposal","Monitor"))))))</x:f>
        <x:v>Monitor</x:v>
      </x:c>
      <x:c r="R42" t="str">
        <x:f>IF(H42="","",TODAY()-H42)</x:f>
      </x:c>
    </x:row>
    <x:row r="43">
      <x:c r="I43" t="str">
        <x:f>IF(H43="","",IF(OR(F43="Facebook",F43="FB",F43="Message"),WORKDAY(H43,4),WORKDAY(H43,3)))</x:f>
      </x:c>
      <x:c r="K43" t="str">
        <x:f>IF(H43="","",WORKDAY(H43,8))</x:f>
      </x:c>
      <x:c r="Q43" t="str">
        <x:f>IF(OR(M43="Not Contacted",M43="Drafted"),"Send first message",IF(OR(M43="Won",M43="Lost",M43="No Response"),"Archive / no action",IF(AND(H43&lt;&gt;"",J43="",I43&lt;=TODAY()),"Send follow-up 1",IF(AND(H43&lt;&gt;"",J43&lt;&gt;"",L43="",K43&lt;=TODAY()),"Send final follow-up",IF(M43="Interested","Send 3-point mini-audit",IF(M43="Audit Sent","Schedule call / proposal","Monitor"))))))</x:f>
        <x:v>Monitor</x:v>
      </x:c>
      <x:c r="R43" t="str">
        <x:f>IF(H43="","",TODAY()-H43)</x:f>
      </x:c>
    </x:row>
    <x:row r="44">
      <x:c r="I44" t="str">
        <x:f>IF(H44="","",IF(OR(F44="Facebook",F44="FB",F44="Message"),WORKDAY(H44,4),WORKDAY(H44,3)))</x:f>
      </x:c>
      <x:c r="K44" t="str">
        <x:f>IF(H44="","",WORKDAY(H44,8))</x:f>
      </x:c>
      <x:c r="Q44" t="str">
        <x:f>IF(OR(M44="Not Contacted",M44="Drafted"),"Send first message",IF(OR(M44="Won",M44="Lost",M44="No Response"),"Archive / no action",IF(AND(H44&lt;&gt;"",J44="",I44&lt;=TODAY()),"Send follow-up 1",IF(AND(H44&lt;&gt;"",J44&lt;&gt;"",L44="",K44&lt;=TODAY()),"Send final follow-up",IF(M44="Interested","Send 3-point mini-audit",IF(M44="Audit Sent","Schedule call / proposal","Monitor"))))))</x:f>
        <x:v>Monitor</x:v>
      </x:c>
      <x:c r="R44" t="str">
        <x:f>IF(H44="","",TODAY()-H44)</x:f>
      </x:c>
    </x:row>
    <x:row r="45">
      <x:c r="I45" t="str">
        <x:f>IF(H45="","",IF(OR(F45="Facebook",F45="FB",F45="Message"),WORKDAY(H45,4),WORKDAY(H45,3)))</x:f>
      </x:c>
      <x:c r="K45" t="str">
        <x:f>IF(H45="","",WORKDAY(H45,8))</x:f>
      </x:c>
      <x:c r="Q45" t="str">
        <x:f>IF(OR(M45="Not Contacted",M45="Drafted"),"Send first message",IF(OR(M45="Won",M45="Lost",M45="No Response"),"Archive / no action",IF(AND(H45&lt;&gt;"",J45="",I45&lt;=TODAY()),"Send follow-up 1",IF(AND(H45&lt;&gt;"",J45&lt;&gt;"",L45="",K45&lt;=TODAY()),"Send final follow-up",IF(M45="Interested","Send 3-point mini-audit",IF(M45="Audit Sent","Schedule call / proposal","Monitor"))))))</x:f>
        <x:v>Monitor</x:v>
      </x:c>
      <x:c r="R45" t="str">
        <x:f>IF(H45="","",TODAY()-H45)</x:f>
      </x:c>
    </x:row>
    <x:row r="46">
      <x:c r="I46" t="str">
        <x:f>IF(H46="","",IF(OR(F46="Facebook",F46="FB",F46="Message"),WORKDAY(H46,4),WORKDAY(H46,3)))</x:f>
      </x:c>
      <x:c r="K46" t="str">
        <x:f>IF(H46="","",WORKDAY(H46,8))</x:f>
      </x:c>
      <x:c r="Q46" t="str">
        <x:f>IF(OR(M46="Not Contacted",M46="Drafted"),"Send first message",IF(OR(M46="Won",M46="Lost",M46="No Response"),"Archive / no action",IF(AND(H46&lt;&gt;"",J46="",I46&lt;=TODAY()),"Send follow-up 1",IF(AND(H46&lt;&gt;"",J46&lt;&gt;"",L46="",K46&lt;=TODAY()),"Send final follow-up",IF(M46="Interested","Send 3-point mini-audit",IF(M46="Audit Sent","Schedule call / proposal","Monitor"))))))</x:f>
        <x:v>Monitor</x:v>
      </x:c>
      <x:c r="R46" t="str">
        <x:f>IF(H46="","",TODAY()-H46)</x:f>
      </x:c>
    </x:row>
    <x:row r="47">
      <x:c r="I47" t="str">
        <x:f>IF(H47="","",IF(OR(F47="Facebook",F47="FB",F47="Message"),WORKDAY(H47,4),WORKDAY(H47,3)))</x:f>
      </x:c>
      <x:c r="K47" t="str">
        <x:f>IF(H47="","",WORKDAY(H47,8))</x:f>
      </x:c>
      <x:c r="Q47" t="str">
        <x:f>IF(OR(M47="Not Contacted",M47="Drafted"),"Send first message",IF(OR(M47="Won",M47="Lost",M47="No Response"),"Archive / no action",IF(AND(H47&lt;&gt;"",J47="",I47&lt;=TODAY()),"Send follow-up 1",IF(AND(H47&lt;&gt;"",J47&lt;&gt;"",L47="",K47&lt;=TODAY()),"Send final follow-up",IF(M47="Interested","Send 3-point mini-audit",IF(M47="Audit Sent","Schedule call / proposal","Monitor"))))))</x:f>
        <x:v>Monitor</x:v>
      </x:c>
      <x:c r="R47" t="str">
        <x:f>IF(H47="","",TODAY()-H47)</x:f>
      </x:c>
    </x:row>
    <x:row r="48">
      <x:c r="I48" t="str">
        <x:f>IF(H48="","",IF(OR(F48="Facebook",F48="FB",F48="Message"),WORKDAY(H48,4),WORKDAY(H48,3)))</x:f>
      </x:c>
      <x:c r="K48" t="str">
        <x:f>IF(H48="","",WORKDAY(H48,8))</x:f>
      </x:c>
      <x:c r="Q48" t="str">
        <x:f>IF(OR(M48="Not Contacted",M48="Drafted"),"Send first message",IF(OR(M48="Won",M48="Lost",M48="No Response"),"Archive / no action",IF(AND(H48&lt;&gt;"",J48="",I48&lt;=TODAY()),"Send follow-up 1",IF(AND(H48&lt;&gt;"",J48&lt;&gt;"",L48="",K48&lt;=TODAY()),"Send final follow-up",IF(M48="Interested","Send 3-point mini-audit",IF(M48="Audit Sent","Schedule call / proposal","Monitor"))))))</x:f>
        <x:v>Monitor</x:v>
      </x:c>
      <x:c r="R48" t="str">
        <x:f>IF(H48="","",TODAY()-H48)</x:f>
      </x:c>
    </x:row>
    <x:row r="49">
      <x:c r="I49" t="str">
        <x:f>IF(H49="","",IF(OR(F49="Facebook",F49="FB",F49="Message"),WORKDAY(H49,4),WORKDAY(H49,3)))</x:f>
      </x:c>
      <x:c r="K49" t="str">
        <x:f>IF(H49="","",WORKDAY(H49,8))</x:f>
      </x:c>
      <x:c r="Q49" t="str">
        <x:f>IF(OR(M49="Not Contacted",M49="Drafted"),"Send first message",IF(OR(M49="Won",M49="Lost",M49="No Response"),"Archive / no action",IF(AND(H49&lt;&gt;"",J49="",I49&lt;=TODAY()),"Send follow-up 1",IF(AND(H49&lt;&gt;"",J49&lt;&gt;"",L49="",K49&lt;=TODAY()),"Send final follow-up",IF(M49="Interested","Send 3-point mini-audit",IF(M49="Audit Sent","Schedule call / proposal","Monitor"))))))</x:f>
        <x:v>Monitor</x:v>
      </x:c>
      <x:c r="R49" t="str">
        <x:f>IF(H49="","",TODAY()-H49)</x:f>
      </x:c>
    </x:row>
    <x:row r="50">
      <x:c r="I50" t="str">
        <x:f>IF(H50="","",IF(OR(F50="Facebook",F50="FB",F50="Message"),WORKDAY(H50,4),WORKDAY(H50,3)))</x:f>
      </x:c>
      <x:c r="K50" t="str">
        <x:f>IF(H50="","",WORKDAY(H50,8))</x:f>
      </x:c>
      <x:c r="Q50" t="str">
        <x:f>IF(OR(M50="Not Contacted",M50="Drafted"),"Send first message",IF(OR(M50="Won",M50="Lost",M50="No Response"),"Archive / no action",IF(AND(H50&lt;&gt;"",J50="",I50&lt;=TODAY()),"Send follow-up 1",IF(AND(H50&lt;&gt;"",J50&lt;&gt;"",L50="",K50&lt;=TODAY()),"Send final follow-up",IF(M50="Interested","Send 3-point mini-audit",IF(M50="Audit Sent","Schedule call / proposal","Monitor"))))))</x:f>
        <x:v>Monitor</x:v>
      </x:c>
      <x:c r="R50" t="str">
        <x:f>IF(H50="","",TODAY()-H50)</x:f>
      </x:c>
    </x:row>
    <x:row r="51">
      <x:c r="I51" t="str">
        <x:f>IF(H51="","",IF(OR(F51="Facebook",F51="FB",F51="Message"),WORKDAY(H51,4),WORKDAY(H51,3)))</x:f>
      </x:c>
      <x:c r="K51" t="str">
        <x:f>IF(H51="","",WORKDAY(H51,8))</x:f>
      </x:c>
      <x:c r="Q51" t="str">
        <x:f>IF(OR(M51="Not Contacted",M51="Drafted"),"Send first message",IF(OR(M51="Won",M51="Lost",M51="No Response"),"Archive / no action",IF(AND(H51&lt;&gt;"",J51="",I51&lt;=TODAY()),"Send follow-up 1",IF(AND(H51&lt;&gt;"",J51&lt;&gt;"",L51="",K51&lt;=TODAY()),"Send final follow-up",IF(M51="Interested","Send 3-point mini-audit",IF(M51="Audit Sent","Schedule call / proposal","Monitor"))))))</x:f>
        <x:v>Monitor</x:v>
      </x:c>
      <x:c r="R51" t="str">
        <x:f>IF(H51="","",TODAY()-H51)</x:f>
      </x:c>
    </x:row>
    <x:row r="52">
      <x:c r="I52" t="str">
        <x:f>IF(H52="","",IF(OR(F52="Facebook",F52="FB",F52="Message"),WORKDAY(H52,4),WORKDAY(H52,3)))</x:f>
      </x:c>
      <x:c r="K52" t="str">
        <x:f>IF(H52="","",WORKDAY(H52,8))</x:f>
      </x:c>
      <x:c r="Q52" t="str">
        <x:f>IF(OR(M52="Not Contacted",M52="Drafted"),"Send first message",IF(OR(M52="Won",M52="Lost",M52="No Response"),"Archive / no action",IF(AND(H52&lt;&gt;"",J52="",I52&lt;=TODAY()),"Send follow-up 1",IF(AND(H52&lt;&gt;"",J52&lt;&gt;"",L52="",K52&lt;=TODAY()),"Send final follow-up",IF(M52="Interested","Send 3-point mini-audit",IF(M52="Audit Sent","Schedule call / proposal","Monitor"))))))</x:f>
        <x:v>Monitor</x:v>
      </x:c>
      <x:c r="R52" t="str">
        <x:f>IF(H52="","",TODAY()-H52)</x:f>
      </x:c>
    </x:row>
    <x:row r="53">
      <x:c r="I53" t="str">
        <x:f>IF(H53="","",IF(OR(F53="Facebook",F53="FB",F53="Message"),WORKDAY(H53,4),WORKDAY(H53,3)))</x:f>
      </x:c>
      <x:c r="K53" t="str">
        <x:f>IF(H53="","",WORKDAY(H53,8))</x:f>
      </x:c>
      <x:c r="Q53" t="str">
        <x:f>IF(OR(M53="Not Contacted",M53="Drafted"),"Send first message",IF(OR(M53="Won",M53="Lost",M53="No Response"),"Archive / no action",IF(AND(H53&lt;&gt;"",J53="",I53&lt;=TODAY()),"Send follow-up 1",IF(AND(H53&lt;&gt;"",J53&lt;&gt;"",L53="",K53&lt;=TODAY()),"Send final follow-up",IF(M53="Interested","Send 3-point mini-audit",IF(M53="Audit Sent","Schedule call / proposal","Monitor"))))))</x:f>
        <x:v>Monitor</x:v>
      </x:c>
      <x:c r="R53" t="str">
        <x:f>IF(H53="","",TODAY()-H53)</x:f>
      </x:c>
    </x:row>
    <x:row r="54">
      <x:c r="I54" t="str">
        <x:f>IF(H54="","",IF(OR(F54="Facebook",F54="FB",F54="Message"),WORKDAY(H54,4),WORKDAY(H54,3)))</x:f>
      </x:c>
      <x:c r="K54" t="str">
        <x:f>IF(H54="","",WORKDAY(H54,8))</x:f>
      </x:c>
      <x:c r="Q54" t="str">
        <x:f>IF(OR(M54="Not Contacted",M54="Drafted"),"Send first message",IF(OR(M54="Won",M54="Lost",M54="No Response"),"Archive / no action",IF(AND(H54&lt;&gt;"",J54="",I54&lt;=TODAY()),"Send follow-up 1",IF(AND(H54&lt;&gt;"",J54&lt;&gt;"",L54="",K54&lt;=TODAY()),"Send final follow-up",IF(M54="Interested","Send 3-point mini-audit",IF(M54="Audit Sent","Schedule call / proposal","Monitor"))))))</x:f>
        <x:v>Monitor</x:v>
      </x:c>
      <x:c r="R54" t="str">
        <x:f>IF(H54="","",TODAY()-H54)</x:f>
      </x:c>
    </x:row>
    <x:row r="55">
      <x:c r="I55" t="str">
        <x:f>IF(H55="","",IF(OR(F55="Facebook",F55="FB",F55="Message"),WORKDAY(H55,4),WORKDAY(H55,3)))</x:f>
      </x:c>
      <x:c r="K55" t="str">
        <x:f>IF(H55="","",WORKDAY(H55,8))</x:f>
      </x:c>
      <x:c r="Q55" t="str">
        <x:f>IF(OR(M55="Not Contacted",M55="Drafted"),"Send first message",IF(OR(M55="Won",M55="Lost",M55="No Response"),"Archive / no action",IF(AND(H55&lt;&gt;"",J55="",I55&lt;=TODAY()),"Send follow-up 1",IF(AND(H55&lt;&gt;"",J55&lt;&gt;"",L55="",K55&lt;=TODAY()),"Send final follow-up",IF(M55="Interested","Send 3-point mini-audit",IF(M55="Audit Sent","Schedule call / proposal","Monitor"))))))</x:f>
        <x:v>Monitor</x:v>
      </x:c>
      <x:c r="R55" t="str">
        <x:f>IF(H55="","",TODAY()-H55)</x:f>
      </x:c>
    </x:row>
    <x:row r="56">
      <x:c r="I56" t="str">
        <x:f>IF(H56="","",IF(OR(F56="Facebook",F56="FB",F56="Message"),WORKDAY(H56,4),WORKDAY(H56,3)))</x:f>
      </x:c>
      <x:c r="K56" t="str">
        <x:f>IF(H56="","",WORKDAY(H56,8))</x:f>
      </x:c>
      <x:c r="Q56" t="str">
        <x:f>IF(OR(M56="Not Contacted",M56="Drafted"),"Send first message",IF(OR(M56="Won",M56="Lost",M56="No Response"),"Archive / no action",IF(AND(H56&lt;&gt;"",J56="",I56&lt;=TODAY()),"Send follow-up 1",IF(AND(H56&lt;&gt;"",J56&lt;&gt;"",L56="",K56&lt;=TODAY()),"Send final follow-up",IF(M56="Interested","Send 3-point mini-audit",IF(M56="Audit Sent","Schedule call / proposal","Monitor"))))))</x:f>
        <x:v>Monitor</x:v>
      </x:c>
      <x:c r="R56" t="str">
        <x:f>IF(H56="","",TODAY()-H56)</x:f>
      </x:c>
    </x:row>
    <x:row r="57">
      <x:c r="I57" t="str">
        <x:f>IF(H57="","",IF(OR(F57="Facebook",F57="FB",F57="Message"),WORKDAY(H57,4),WORKDAY(H57,3)))</x:f>
      </x:c>
      <x:c r="K57" t="str">
        <x:f>IF(H57="","",WORKDAY(H57,8))</x:f>
      </x:c>
      <x:c r="Q57" t="str">
        <x:f>IF(OR(M57="Not Contacted",M57="Drafted"),"Send first message",IF(OR(M57="Won",M57="Lost",M57="No Response"),"Archive / no action",IF(AND(H57&lt;&gt;"",J57="",I57&lt;=TODAY()),"Send follow-up 1",IF(AND(H57&lt;&gt;"",J57&lt;&gt;"",L57="",K57&lt;=TODAY()),"Send final follow-up",IF(M57="Interested","Send 3-point mini-audit",IF(M57="Audit Sent","Schedule call / proposal","Monitor"))))))</x:f>
        <x:v>Monitor</x:v>
      </x:c>
      <x:c r="R57" t="str">
        <x:f>IF(H57="","",TODAY()-H57)</x:f>
      </x:c>
    </x:row>
    <x:row r="58">
      <x:c r="I58" t="str">
        <x:f>IF(H58="","",IF(OR(F58="Facebook",F58="FB",F58="Message"),WORKDAY(H58,4),WORKDAY(H58,3)))</x:f>
      </x:c>
      <x:c r="K58" t="str">
        <x:f>IF(H58="","",WORKDAY(H58,8))</x:f>
      </x:c>
      <x:c r="Q58" t="str">
        <x:f>IF(OR(M58="Not Contacted",M58="Drafted"),"Send first message",IF(OR(M58="Won",M58="Lost",M58="No Response"),"Archive / no action",IF(AND(H58&lt;&gt;"",J58="",I58&lt;=TODAY()),"Send follow-up 1",IF(AND(H58&lt;&gt;"",J58&lt;&gt;"",L58="",K58&lt;=TODAY()),"Send final follow-up",IF(M58="Interested","Send 3-point mini-audit",IF(M58="Audit Sent","Schedule call / proposal","Monitor"))))))</x:f>
        <x:v>Monitor</x:v>
      </x:c>
      <x:c r="R58" t="str">
        <x:f>IF(H58="","",TODAY()-H58)</x:f>
      </x:c>
    </x:row>
    <x:row r="59">
      <x:c r="I59" t="str">
        <x:f>IF(H59="","",IF(OR(F59="Facebook",F59="FB",F59="Message"),WORKDAY(H59,4),WORKDAY(H59,3)))</x:f>
      </x:c>
      <x:c r="K59" t="str">
        <x:f>IF(H59="","",WORKDAY(H59,8))</x:f>
      </x:c>
      <x:c r="Q59" t="str">
        <x:f>IF(OR(M59="Not Contacted",M59="Drafted"),"Send first message",IF(OR(M59="Won",M59="Lost",M59="No Response"),"Archive / no action",IF(AND(H59&lt;&gt;"",J59="",I59&lt;=TODAY()),"Send follow-up 1",IF(AND(H59&lt;&gt;"",J59&lt;&gt;"",L59="",K59&lt;=TODAY()),"Send final follow-up",IF(M59="Interested","Send 3-point mini-audit",IF(M59="Audit Sent","Schedule call / proposal","Monitor"))))))</x:f>
        <x:v>Monitor</x:v>
      </x:c>
      <x:c r="R59" t="str">
        <x:f>IF(H59="","",TODAY()-H59)</x:f>
      </x:c>
    </x:row>
    <x:row r="60">
      <x:c r="I60" t="str">
        <x:f>IF(H60="","",IF(OR(F60="Facebook",F60="FB",F60="Message"),WORKDAY(H60,4),WORKDAY(H60,3)))</x:f>
      </x:c>
      <x:c r="K60" t="str">
        <x:f>IF(H60="","",WORKDAY(H60,8))</x:f>
      </x:c>
      <x:c r="Q60" t="str">
        <x:f>IF(OR(M60="Not Contacted",M60="Drafted"),"Send first message",IF(OR(M60="Won",M60="Lost",M60="No Response"),"Archive / no action",IF(AND(H60&lt;&gt;"",J60="",I60&lt;=TODAY()),"Send follow-up 1",IF(AND(H60&lt;&gt;"",J60&lt;&gt;"",L60="",K60&lt;=TODAY()),"Send final follow-up",IF(M60="Interested","Send 3-point mini-audit",IF(M60="Audit Sent","Schedule call / proposal","Monitor"))))))</x:f>
        <x:v>Monitor</x:v>
      </x:c>
      <x:c r="R60" t="str">
        <x:f>IF(H60="","",TODAY()-H60)</x:f>
      </x:c>
    </x:row>
    <x:row r="61">
      <x:c r="I61" t="str">
        <x:f>IF(H61="","",IF(OR(F61="Facebook",F61="FB",F61="Message"),WORKDAY(H61,4),WORKDAY(H61,3)))</x:f>
      </x:c>
      <x:c r="K61" t="str">
        <x:f>IF(H61="","",WORKDAY(H61,8))</x:f>
      </x:c>
      <x:c r="Q61" t="str">
        <x:f>IF(OR(M61="Not Contacted",M61="Drafted"),"Send first message",IF(OR(M61="Won",M61="Lost",M61="No Response"),"Archive / no action",IF(AND(H61&lt;&gt;"",J61="",I61&lt;=TODAY()),"Send follow-up 1",IF(AND(H61&lt;&gt;"",J61&lt;&gt;"",L61="",K61&lt;=TODAY()),"Send final follow-up",IF(M61="Interested","Send 3-point mini-audit",IF(M61="Audit Sent","Schedule call / proposal","Monitor"))))))</x:f>
        <x:v>Monitor</x:v>
      </x:c>
      <x:c r="R61" t="str">
        <x:f>IF(H61="","",TODAY()-H61)</x:f>
      </x:c>
    </x:row>
    <x:row r="62">
      <x:c r="I62" t="str">
        <x:f>IF(H62="","",IF(OR(F62="Facebook",F62="FB",F62="Message"),WORKDAY(H62,4),WORKDAY(H62,3)))</x:f>
      </x:c>
      <x:c r="K62" t="str">
        <x:f>IF(H62="","",WORKDAY(H62,8))</x:f>
      </x:c>
      <x:c r="Q62" t="str">
        <x:f>IF(OR(M62="Not Contacted",M62="Drafted"),"Send first message",IF(OR(M62="Won",M62="Lost",M62="No Response"),"Archive / no action",IF(AND(H62&lt;&gt;"",J62="",I62&lt;=TODAY()),"Send follow-up 1",IF(AND(H62&lt;&gt;"",J62&lt;&gt;"",L62="",K62&lt;=TODAY()),"Send final follow-up",IF(M62="Interested","Send 3-point mini-audit",IF(M62="Audit Sent","Schedule call / proposal","Monitor"))))))</x:f>
        <x:v>Monitor</x:v>
      </x:c>
      <x:c r="R62" t="str">
        <x:f>IF(H62="","",TODAY()-H62)</x:f>
      </x:c>
    </x:row>
    <x:row r="63">
      <x:c r="I63" t="str">
        <x:f>IF(H63="","",IF(OR(F63="Facebook",F63="FB",F63="Message"),WORKDAY(H63,4),WORKDAY(H63,3)))</x:f>
      </x:c>
      <x:c r="K63" t="str">
        <x:f>IF(H63="","",WORKDAY(H63,8))</x:f>
      </x:c>
      <x:c r="Q63" t="str">
        <x:f>IF(OR(M63="Not Contacted",M63="Drafted"),"Send first message",IF(OR(M63="Won",M63="Lost",M63="No Response"),"Archive / no action",IF(AND(H63&lt;&gt;"",J63="",I63&lt;=TODAY()),"Send follow-up 1",IF(AND(H63&lt;&gt;"",J63&lt;&gt;"",L63="",K63&lt;=TODAY()),"Send final follow-up",IF(M63="Interested","Send 3-point mini-audit",IF(M63="Audit Sent","Schedule call / proposal","Monitor"))))))</x:f>
        <x:v>Monitor</x:v>
      </x:c>
      <x:c r="R63" t="str">
        <x:f>IF(H63="","",TODAY()-H63)</x:f>
      </x:c>
    </x:row>
    <x:row r="64">
      <x:c r="I64" t="str">
        <x:f>IF(H64="","",IF(OR(F64="Facebook",F64="FB",F64="Message"),WORKDAY(H64,4),WORKDAY(H64,3)))</x:f>
      </x:c>
      <x:c r="K64" t="str">
        <x:f>IF(H64="","",WORKDAY(H64,8))</x:f>
      </x:c>
      <x:c r="Q64" t="str">
        <x:f>IF(OR(M64="Not Contacted",M64="Drafted"),"Send first message",IF(OR(M64="Won",M64="Lost",M64="No Response"),"Archive / no action",IF(AND(H64&lt;&gt;"",J64="",I64&lt;=TODAY()),"Send follow-up 1",IF(AND(H64&lt;&gt;"",J64&lt;&gt;"",L64="",K64&lt;=TODAY()),"Send final follow-up",IF(M64="Interested","Send 3-point mini-audit",IF(M64="Audit Sent","Schedule call / proposal","Monitor"))))))</x:f>
        <x:v>Monitor</x:v>
      </x:c>
      <x:c r="R64" t="str">
        <x:f>IF(H64="","",TODAY()-H64)</x:f>
      </x:c>
    </x:row>
    <x:row r="65">
      <x:c r="I65" t="str">
        <x:f>IF(H65="","",IF(OR(F65="Facebook",F65="FB",F65="Message"),WORKDAY(H65,4),WORKDAY(H65,3)))</x:f>
      </x:c>
      <x:c r="K65" t="str">
        <x:f>IF(H65="","",WORKDAY(H65,8))</x:f>
      </x:c>
      <x:c r="Q65" t="str">
        <x:f>IF(OR(M65="Not Contacted",M65="Drafted"),"Send first message",IF(OR(M65="Won",M65="Lost",M65="No Response"),"Archive / no action",IF(AND(H65&lt;&gt;"",J65="",I65&lt;=TODAY()),"Send follow-up 1",IF(AND(H65&lt;&gt;"",J65&lt;&gt;"",L65="",K65&lt;=TODAY()),"Send final follow-up",IF(M65="Interested","Send 3-point mini-audit",IF(M65="Audit Sent","Schedule call / proposal","Monitor"))))))</x:f>
        <x:v>Monitor</x:v>
      </x:c>
      <x:c r="R65" t="str">
        <x:f>IF(H65="","",TODAY()-H65)</x:f>
      </x:c>
    </x:row>
    <x:row r="66">
      <x:c r="I66" t="str">
        <x:f>IF(H66="","",IF(OR(F66="Facebook",F66="FB",F66="Message"),WORKDAY(H66,4),WORKDAY(H66,3)))</x:f>
      </x:c>
      <x:c r="K66" t="str">
        <x:f>IF(H66="","",WORKDAY(H66,8))</x:f>
      </x:c>
      <x:c r="Q66" t="str">
        <x:f>IF(OR(M66="Not Contacted",M66="Drafted"),"Send first message",IF(OR(M66="Won",M66="Lost",M66="No Response"),"Archive / no action",IF(AND(H66&lt;&gt;"",J66="",I66&lt;=TODAY()),"Send follow-up 1",IF(AND(H66&lt;&gt;"",J66&lt;&gt;"",L66="",K66&lt;=TODAY()),"Send final follow-up",IF(M66="Interested","Send 3-point mini-audit",IF(M66="Audit Sent","Schedule call / proposal","Monitor"))))))</x:f>
        <x:v>Monitor</x:v>
      </x:c>
      <x:c r="R66" t="str">
        <x:f>IF(H66="","",TODAY()-H66)</x:f>
      </x:c>
    </x:row>
    <x:row r="67">
      <x:c r="I67" t="str">
        <x:f>IF(H67="","",IF(OR(F67="Facebook",F67="FB",F67="Message"),WORKDAY(H67,4),WORKDAY(H67,3)))</x:f>
      </x:c>
      <x:c r="K67" t="str">
        <x:f>IF(H67="","",WORKDAY(H67,8))</x:f>
      </x:c>
      <x:c r="Q67" t="str">
        <x:f>IF(OR(M67="Not Contacted",M67="Drafted"),"Send first message",IF(OR(M67="Won",M67="Lost",M67="No Response"),"Archive / no action",IF(AND(H67&lt;&gt;"",J67="",I67&lt;=TODAY()),"Send follow-up 1",IF(AND(H67&lt;&gt;"",J67&lt;&gt;"",L67="",K67&lt;=TODAY()),"Send final follow-up",IF(M67="Interested","Send 3-point mini-audit",IF(M67="Audit Sent","Schedule call / proposal","Monitor"))))))</x:f>
        <x:v>Monitor</x:v>
      </x:c>
      <x:c r="R67" t="str">
        <x:f>IF(H67="","",TODAY()-H67)</x:f>
      </x:c>
    </x:row>
    <x:row r="68">
      <x:c r="I68" t="str">
        <x:f>IF(H68="","",IF(OR(F68="Facebook",F68="FB",F68="Message"),WORKDAY(H68,4),WORKDAY(H68,3)))</x:f>
      </x:c>
      <x:c r="K68" t="str">
        <x:f>IF(H68="","",WORKDAY(H68,8))</x:f>
      </x:c>
      <x:c r="Q68" t="str">
        <x:f>IF(OR(M68="Not Contacted",M68="Drafted"),"Send first message",IF(OR(M68="Won",M68="Lost",M68="No Response"),"Archive / no action",IF(AND(H68&lt;&gt;"",J68="",I68&lt;=TODAY()),"Send follow-up 1",IF(AND(H68&lt;&gt;"",J68&lt;&gt;"",L68="",K68&lt;=TODAY()),"Send final follow-up",IF(M68="Interested","Send 3-point mini-audit",IF(M68="Audit Sent","Schedule call / proposal","Monitor"))))))</x:f>
        <x:v>Monitor</x:v>
      </x:c>
      <x:c r="R68" t="str">
        <x:f>IF(H68="","",TODAY()-H68)</x:f>
      </x:c>
    </x:row>
    <x:row r="69">
      <x:c r="I69" t="str">
        <x:f>IF(H69="","",IF(OR(F69="Facebook",F69="FB",F69="Message"),WORKDAY(H69,4),WORKDAY(H69,3)))</x:f>
      </x:c>
      <x:c r="K69" t="str">
        <x:f>IF(H69="","",WORKDAY(H69,8))</x:f>
      </x:c>
      <x:c r="Q69" t="str">
        <x:f>IF(OR(M69="Not Contacted",M69="Drafted"),"Send first message",IF(OR(M69="Won",M69="Lost",M69="No Response"),"Archive / no action",IF(AND(H69&lt;&gt;"",J69="",I69&lt;=TODAY()),"Send follow-up 1",IF(AND(H69&lt;&gt;"",J69&lt;&gt;"",L69="",K69&lt;=TODAY()),"Send final follow-up",IF(M69="Interested","Send 3-point mini-audit",IF(M69="Audit Sent","Schedule call / proposal","Monitor"))))))</x:f>
        <x:v>Monitor</x:v>
      </x:c>
      <x:c r="R69" t="str">
        <x:f>IF(H69="","",TODAY()-H69)</x:f>
      </x:c>
    </x:row>
    <x:row r="70">
      <x:c r="I70" t="str">
        <x:f>IF(H70="","",IF(OR(F70="Facebook",F70="FB",F70="Message"),WORKDAY(H70,4),WORKDAY(H70,3)))</x:f>
      </x:c>
      <x:c r="K70" t="str">
        <x:f>IF(H70="","",WORKDAY(H70,8))</x:f>
      </x:c>
      <x:c r="Q70" t="str">
        <x:f>IF(OR(M70="Not Contacted",M70="Drafted"),"Send first message",IF(OR(M70="Won",M70="Lost",M70="No Response"),"Archive / no action",IF(AND(H70&lt;&gt;"",J70="",I70&lt;=TODAY()),"Send follow-up 1",IF(AND(H70&lt;&gt;"",J70&lt;&gt;"",L70="",K70&lt;=TODAY()),"Send final follow-up",IF(M70="Interested","Send 3-point mini-audit",IF(M70="Audit Sent","Schedule call / proposal","Monitor"))))))</x:f>
        <x:v>Monitor</x:v>
      </x:c>
      <x:c r="R70" t="str">
        <x:f>IF(H70="","",TODAY()-H70)</x:f>
      </x:c>
    </x:row>
    <x:row r="71">
      <x:c r="I71" t="str">
        <x:f>IF(H71="","",IF(OR(F71="Facebook",F71="FB",F71="Message"),WORKDAY(H71,4),WORKDAY(H71,3)))</x:f>
      </x:c>
      <x:c r="K71" t="str">
        <x:f>IF(H71="","",WORKDAY(H71,8))</x:f>
      </x:c>
      <x:c r="Q71" t="str">
        <x:f>IF(OR(M71="Not Contacted",M71="Drafted"),"Send first message",IF(OR(M71="Won",M71="Lost",M71="No Response"),"Archive / no action",IF(AND(H71&lt;&gt;"",J71="",I71&lt;=TODAY()),"Send follow-up 1",IF(AND(H71&lt;&gt;"",J71&lt;&gt;"",L71="",K71&lt;=TODAY()),"Send final follow-up",IF(M71="Interested","Send 3-point mini-audit",IF(M71="Audit Sent","Schedule call / proposal","Monitor"))))))</x:f>
        <x:v>Monitor</x:v>
      </x:c>
      <x:c r="R71" t="str">
        <x:f>IF(H71="","",TODAY()-H71)</x:f>
      </x:c>
    </x:row>
    <x:row r="72">
      <x:c r="I72" t="str">
        <x:f>IF(H72="","",IF(OR(F72="Facebook",F72="FB",F72="Message"),WORKDAY(H72,4),WORKDAY(H72,3)))</x:f>
      </x:c>
      <x:c r="K72" t="str">
        <x:f>IF(H72="","",WORKDAY(H72,8))</x:f>
      </x:c>
      <x:c r="Q72" t="str">
        <x:f>IF(OR(M72="Not Contacted",M72="Drafted"),"Send first message",IF(OR(M72="Won",M72="Lost",M72="No Response"),"Archive / no action",IF(AND(H72&lt;&gt;"",J72="",I72&lt;=TODAY()),"Send follow-up 1",IF(AND(H72&lt;&gt;"",J72&lt;&gt;"",L72="",K72&lt;=TODAY()),"Send final follow-up",IF(M72="Interested","Send 3-point mini-audit",IF(M72="Audit Sent","Schedule call / proposal","Monitor"))))))</x:f>
        <x:v>Monitor</x:v>
      </x:c>
      <x:c r="R72" t="str">
        <x:f>IF(H72="","",TODAY()-H72)</x:f>
      </x:c>
    </x:row>
    <x:row r="73">
      <x:c r="I73" t="str">
        <x:f>IF(H73="","",IF(OR(F73="Facebook",F73="FB",F73="Message"),WORKDAY(H73,4),WORKDAY(H73,3)))</x:f>
      </x:c>
      <x:c r="K73" t="str">
        <x:f>IF(H73="","",WORKDAY(H73,8))</x:f>
      </x:c>
      <x:c r="Q73" t="str">
        <x:f>IF(OR(M73="Not Contacted",M73="Drafted"),"Send first message",IF(OR(M73="Won",M73="Lost",M73="No Response"),"Archive / no action",IF(AND(H73&lt;&gt;"",J73="",I73&lt;=TODAY()),"Send follow-up 1",IF(AND(H73&lt;&gt;"",J73&lt;&gt;"",L73="",K73&lt;=TODAY()),"Send final follow-up",IF(M73="Interested","Send 3-point mini-audit",IF(M73="Audit Sent","Schedule call / proposal","Monitor"))))))</x:f>
        <x:v>Monitor</x:v>
      </x:c>
      <x:c r="R73" t="str">
        <x:f>IF(H73="","",TODAY()-H73)</x:f>
      </x:c>
    </x:row>
    <x:row r="74">
      <x:c r="I74" t="str">
        <x:f>IF(H74="","",IF(OR(F74="Facebook",F74="FB",F74="Message"),WORKDAY(H74,4),WORKDAY(H74,3)))</x:f>
      </x:c>
      <x:c r="K74" t="str">
        <x:f>IF(H74="","",WORKDAY(H74,8))</x:f>
      </x:c>
      <x:c r="Q74" t="str">
        <x:f>IF(OR(M74="Not Contacted",M74="Drafted"),"Send first message",IF(OR(M74="Won",M74="Lost",M74="No Response"),"Archive / no action",IF(AND(H74&lt;&gt;"",J74="",I74&lt;=TODAY()),"Send follow-up 1",IF(AND(H74&lt;&gt;"",J74&lt;&gt;"",L74="",K74&lt;=TODAY()),"Send final follow-up",IF(M74="Interested","Send 3-point mini-audit",IF(M74="Audit Sent","Schedule call / proposal","Monitor"))))))</x:f>
        <x:v>Monitor</x:v>
      </x:c>
      <x:c r="R74" t="str">
        <x:f>IF(H74="","",TODAY()-H74)</x:f>
      </x:c>
    </x:row>
    <x:row r="75">
      <x:c r="I75" t="str">
        <x:f>IF(H75="","",IF(OR(F75="Facebook",F75="FB",F75="Message"),WORKDAY(H75,4),WORKDAY(H75,3)))</x:f>
      </x:c>
      <x:c r="K75" t="str">
        <x:f>IF(H75="","",WORKDAY(H75,8))</x:f>
      </x:c>
      <x:c r="Q75" t="str">
        <x:f>IF(OR(M75="Not Contacted",M75="Drafted"),"Send first message",IF(OR(M75="Won",M75="Lost",M75="No Response"),"Archive / no action",IF(AND(H75&lt;&gt;"",J75="",I75&lt;=TODAY()),"Send follow-up 1",IF(AND(H75&lt;&gt;"",J75&lt;&gt;"",L75="",K75&lt;=TODAY()),"Send final follow-up",IF(M75="Interested","Send 3-point mini-audit",IF(M75="Audit Sent","Schedule call / proposal","Monitor"))))))</x:f>
        <x:v>Monitor</x:v>
      </x:c>
      <x:c r="R75" t="str">
        <x:f>IF(H75="","",TODAY()-H75)</x:f>
      </x:c>
    </x:row>
    <x:row r="76">
      <x:c r="I76" t="str">
        <x:f>IF(H76="","",IF(OR(F76="Facebook",F76="FB",F76="Message"),WORKDAY(H76,4),WORKDAY(H76,3)))</x:f>
      </x:c>
      <x:c r="K76" t="str">
        <x:f>IF(H76="","",WORKDAY(H76,8))</x:f>
      </x:c>
      <x:c r="Q76" t="str">
        <x:f>IF(OR(M76="Not Contacted",M76="Drafted"),"Send first message",IF(OR(M76="Won",M76="Lost",M76="No Response"),"Archive / no action",IF(AND(H76&lt;&gt;"",J76="",I76&lt;=TODAY()),"Send follow-up 1",IF(AND(H76&lt;&gt;"",J76&lt;&gt;"",L76="",K76&lt;=TODAY()),"Send final follow-up",IF(M76="Interested","Send 3-point mini-audit",IF(M76="Audit Sent","Schedule call / proposal","Monitor"))))))</x:f>
        <x:v>Monitor</x:v>
      </x:c>
      <x:c r="R76" t="str">
        <x:f>IF(H76="","",TODAY()-H76)</x:f>
      </x:c>
    </x:row>
    <x:row r="77">
      <x:c r="I77" t="str">
        <x:f>IF(H77="","",IF(OR(F77="Facebook",F77="FB",F77="Message"),WORKDAY(H77,4),WORKDAY(H77,3)))</x:f>
      </x:c>
      <x:c r="K77" t="str">
        <x:f>IF(H77="","",WORKDAY(H77,8))</x:f>
      </x:c>
      <x:c r="Q77" t="str">
        <x:f>IF(OR(M77="Not Contacted",M77="Drafted"),"Send first message",IF(OR(M77="Won",M77="Lost",M77="No Response"),"Archive / no action",IF(AND(H77&lt;&gt;"",J77="",I77&lt;=TODAY()),"Send follow-up 1",IF(AND(H77&lt;&gt;"",J77&lt;&gt;"",L77="",K77&lt;=TODAY()),"Send final follow-up",IF(M77="Interested","Send 3-point mini-audit",IF(M77="Audit Sent","Schedule call / proposal","Monitor"))))))</x:f>
        <x:v>Monitor</x:v>
      </x:c>
      <x:c r="R77" t="str">
        <x:f>IF(H77="","",TODAY()-H77)</x:f>
      </x:c>
    </x:row>
    <x:row r="78">
      <x:c r="I78" t="str">
        <x:f>IF(H78="","",IF(OR(F78="Facebook",F78="FB",F78="Message"),WORKDAY(H78,4),WORKDAY(H78,3)))</x:f>
      </x:c>
      <x:c r="K78" t="str">
        <x:f>IF(H78="","",WORKDAY(H78,8))</x:f>
      </x:c>
      <x:c r="Q78" t="str">
        <x:f>IF(OR(M78="Not Contacted",M78="Drafted"),"Send first message",IF(OR(M78="Won",M78="Lost",M78="No Response"),"Archive / no action",IF(AND(H78&lt;&gt;"",J78="",I78&lt;=TODAY()),"Send follow-up 1",IF(AND(H78&lt;&gt;"",J78&lt;&gt;"",L78="",K78&lt;=TODAY()),"Send final follow-up",IF(M78="Interested","Send 3-point mini-audit",IF(M78="Audit Sent","Schedule call / proposal","Monitor"))))))</x:f>
        <x:v>Monitor</x:v>
      </x:c>
      <x:c r="R78" t="str">
        <x:f>IF(H78="","",TODAY()-H78)</x:f>
      </x:c>
    </x:row>
    <x:row r="79">
      <x:c r="I79" t="str">
        <x:f>IF(H79="","",IF(OR(F79="Facebook",F79="FB",F79="Message"),WORKDAY(H79,4),WORKDAY(H79,3)))</x:f>
      </x:c>
      <x:c r="K79" t="str">
        <x:f>IF(H79="","",WORKDAY(H79,8))</x:f>
      </x:c>
      <x:c r="Q79" t="str">
        <x:f>IF(OR(M79="Not Contacted",M79="Drafted"),"Send first message",IF(OR(M79="Won",M79="Lost",M79="No Response"),"Archive / no action",IF(AND(H79&lt;&gt;"",J79="",I79&lt;=TODAY()),"Send follow-up 1",IF(AND(H79&lt;&gt;"",J79&lt;&gt;"",L79="",K79&lt;=TODAY()),"Send final follow-up",IF(M79="Interested","Send 3-point mini-audit",IF(M79="Audit Sent","Schedule call / proposal","Monitor"))))))</x:f>
        <x:v>Monitor</x:v>
      </x:c>
      <x:c r="R79" t="str">
        <x:f>IF(H79="","",TODAY()-H79)</x:f>
      </x:c>
    </x:row>
    <x:row r="80">
      <x:c r="I80" t="str">
        <x:f>IF(H80="","",IF(OR(F80="Facebook",F80="FB",F80="Message"),WORKDAY(H80,4),WORKDAY(H80,3)))</x:f>
      </x:c>
      <x:c r="K80" t="str">
        <x:f>IF(H80="","",WORKDAY(H80,8))</x:f>
      </x:c>
      <x:c r="Q80" t="str">
        <x:f>IF(OR(M80="Not Contacted",M80="Drafted"),"Send first message",IF(OR(M80="Won",M80="Lost",M80="No Response"),"Archive / no action",IF(AND(H80&lt;&gt;"",J80="",I80&lt;=TODAY()),"Send follow-up 1",IF(AND(H80&lt;&gt;"",J80&lt;&gt;"",L80="",K80&lt;=TODAY()),"Send final follow-up",IF(M80="Interested","Send 3-point mini-audit",IF(M80="Audit Sent","Schedule call / proposal","Monitor"))))))</x:f>
        <x:v>Monitor</x:v>
      </x:c>
      <x:c r="R80" t="str">
        <x:f>IF(H80="","",TODAY()-H80)</x:f>
      </x:c>
    </x:row>
    <x:row r="81">
      <x:c r="I81" t="str">
        <x:f>IF(H81="","",IF(OR(F81="Facebook",F81="FB",F81="Message"),WORKDAY(H81,4),WORKDAY(H81,3)))</x:f>
      </x:c>
      <x:c r="K81" t="str">
        <x:f>IF(H81="","",WORKDAY(H81,8))</x:f>
      </x:c>
      <x:c r="Q81" t="str">
        <x:f>IF(OR(M81="Not Contacted",M81="Drafted"),"Send first message",IF(OR(M81="Won",M81="Lost",M81="No Response"),"Archive / no action",IF(AND(H81&lt;&gt;"",J81="",I81&lt;=TODAY()),"Send follow-up 1",IF(AND(H81&lt;&gt;"",J81&lt;&gt;"",L81="",K81&lt;=TODAY()),"Send final follow-up",IF(M81="Interested","Send 3-point mini-audit",IF(M81="Audit Sent","Schedule call / proposal","Monitor"))))))</x:f>
        <x:v>Monitor</x:v>
      </x:c>
      <x:c r="R81" t="str">
        <x:f>IF(H81="","",TODAY()-H81)</x:f>
      </x:c>
    </x:row>
    <x:row r="82">
      <x:c r="I82" t="str">
        <x:f>IF(H82="","",IF(OR(F82="Facebook",F82="FB",F82="Message"),WORKDAY(H82,4),WORKDAY(H82,3)))</x:f>
      </x:c>
      <x:c r="K82" t="str">
        <x:f>IF(H82="","",WORKDAY(H82,8))</x:f>
      </x:c>
      <x:c r="Q82" t="str">
        <x:f>IF(OR(M82="Not Contacted",M82="Drafted"),"Send first message",IF(OR(M82="Won",M82="Lost",M82="No Response"),"Archive / no action",IF(AND(H82&lt;&gt;"",J82="",I82&lt;=TODAY()),"Send follow-up 1",IF(AND(H82&lt;&gt;"",J82&lt;&gt;"",L82="",K82&lt;=TODAY()),"Send final follow-up",IF(M82="Interested","Send 3-point mini-audit",IF(M82="Audit Sent","Schedule call / proposal","Monitor"))))))</x:f>
        <x:v>Monitor</x:v>
      </x:c>
      <x:c r="R82" t="str">
        <x:f>IF(H82="","",TODAY()-H82)</x:f>
      </x:c>
    </x:row>
    <x:row r="83">
      <x:c r="I83" t="str">
        <x:f>IF(H83="","",IF(OR(F83="Facebook",F83="FB",F83="Message"),WORKDAY(H83,4),WORKDAY(H83,3)))</x:f>
      </x:c>
      <x:c r="K83" t="str">
        <x:f>IF(H83="","",WORKDAY(H83,8))</x:f>
      </x:c>
      <x:c r="Q83" t="str">
        <x:f>IF(OR(M83="Not Contacted",M83="Drafted"),"Send first message",IF(OR(M83="Won",M83="Lost",M83="No Response"),"Archive / no action",IF(AND(H83&lt;&gt;"",J83="",I83&lt;=TODAY()),"Send follow-up 1",IF(AND(H83&lt;&gt;"",J83&lt;&gt;"",L83="",K83&lt;=TODAY()),"Send final follow-up",IF(M83="Interested","Send 3-point mini-audit",IF(M83="Audit Sent","Schedule call / proposal","Monitor"))))))</x:f>
        <x:v>Monitor</x:v>
      </x:c>
      <x:c r="R83" t="str">
        <x:f>IF(H83="","",TODAY()-H83)</x:f>
      </x:c>
    </x:row>
    <x:row r="84">
      <x:c r="I84" t="str">
        <x:f>IF(H84="","",IF(OR(F84="Facebook",F84="FB",F84="Message"),WORKDAY(H84,4),WORKDAY(H84,3)))</x:f>
      </x:c>
      <x:c r="K84" t="str">
        <x:f>IF(H84="","",WORKDAY(H84,8))</x:f>
      </x:c>
      <x:c r="Q84" t="str">
        <x:f>IF(OR(M84="Not Contacted",M84="Drafted"),"Send first message",IF(OR(M84="Won",M84="Lost",M84="No Response"),"Archive / no action",IF(AND(H84&lt;&gt;"",J84="",I84&lt;=TODAY()),"Send follow-up 1",IF(AND(H84&lt;&gt;"",J84&lt;&gt;"",L84="",K84&lt;=TODAY()),"Send final follow-up",IF(M84="Interested","Send 3-point mini-audit",IF(M84="Audit Sent","Schedule call / proposal","Monitor"))))))</x:f>
        <x:v>Monitor</x:v>
      </x:c>
      <x:c r="R84" t="str">
        <x:f>IF(H84="","",TODAY()-H84)</x:f>
      </x:c>
    </x:row>
    <x:row r="85">
      <x:c r="I85" t="str">
        <x:f>IF(H85="","",IF(OR(F85="Facebook",F85="FB",F85="Message"),WORKDAY(H85,4),WORKDAY(H85,3)))</x:f>
      </x:c>
      <x:c r="K85" t="str">
        <x:f>IF(H85="","",WORKDAY(H85,8))</x:f>
      </x:c>
      <x:c r="Q85" t="str">
        <x:f>IF(OR(M85="Not Contacted",M85="Drafted"),"Send first message",IF(OR(M85="Won",M85="Lost",M85="No Response"),"Archive / no action",IF(AND(H85&lt;&gt;"",J85="",I85&lt;=TODAY()),"Send follow-up 1",IF(AND(H85&lt;&gt;"",J85&lt;&gt;"",L85="",K85&lt;=TODAY()),"Send final follow-up",IF(M85="Interested","Send 3-point mini-audit",IF(M85="Audit Sent","Schedule call / proposal","Monitor"))))))</x:f>
        <x:v>Monitor</x:v>
      </x:c>
      <x:c r="R85" t="str">
        <x:f>IF(H85="","",TODAY()-H85)</x:f>
      </x:c>
    </x:row>
    <x:row r="86">
      <x:c r="I86" t="str">
        <x:f>IF(H86="","",IF(OR(F86="Facebook",F86="FB",F86="Message"),WORKDAY(H86,4),WORKDAY(H86,3)))</x:f>
      </x:c>
      <x:c r="K86" t="str">
        <x:f>IF(H86="","",WORKDAY(H86,8))</x:f>
      </x:c>
      <x:c r="Q86" t="str">
        <x:f>IF(OR(M86="Not Contacted",M86="Drafted"),"Send first message",IF(OR(M86="Won",M86="Lost",M86="No Response"),"Archive / no action",IF(AND(H86&lt;&gt;"",J86="",I86&lt;=TODAY()),"Send follow-up 1",IF(AND(H86&lt;&gt;"",J86&lt;&gt;"",L86="",K86&lt;=TODAY()),"Send final follow-up",IF(M86="Interested","Send 3-point mini-audit",IF(M86="Audit Sent","Schedule call / proposal","Monitor"))))))</x:f>
        <x:v>Monitor</x:v>
      </x:c>
      <x:c r="R86" t="str">
        <x:f>IF(H86="","",TODAY()-H86)</x:f>
      </x:c>
    </x:row>
    <x:row r="87">
      <x:c r="I87" t="str">
        <x:f>IF(H87="","",IF(OR(F87="Facebook",F87="FB",F87="Message"),WORKDAY(H87,4),WORKDAY(H87,3)))</x:f>
      </x:c>
      <x:c r="K87" t="str">
        <x:f>IF(H87="","",WORKDAY(H87,8))</x:f>
      </x:c>
      <x:c r="Q87" t="str">
        <x:f>IF(OR(M87="Not Contacted",M87="Drafted"),"Send first message",IF(OR(M87="Won",M87="Lost",M87="No Response"),"Archive / no action",IF(AND(H87&lt;&gt;"",J87="",I87&lt;=TODAY()),"Send follow-up 1",IF(AND(H87&lt;&gt;"",J87&lt;&gt;"",L87="",K87&lt;=TODAY()),"Send final follow-up",IF(M87="Interested","Send 3-point mini-audit",IF(M87="Audit Sent","Schedule call / proposal","Monitor"))))))</x:f>
        <x:v>Monitor</x:v>
      </x:c>
      <x:c r="R87" t="str">
        <x:f>IF(H87="","",TODAY()-H87)</x:f>
      </x:c>
    </x:row>
    <x:row r="88">
      <x:c r="I88" t="str">
        <x:f>IF(H88="","",IF(OR(F88="Facebook",F88="FB",F88="Message"),WORKDAY(H88,4),WORKDAY(H88,3)))</x:f>
      </x:c>
      <x:c r="K88" t="str">
        <x:f>IF(H88="","",WORKDAY(H88,8))</x:f>
      </x:c>
      <x:c r="Q88" t="str">
        <x:f>IF(OR(M88="Not Contacted",M88="Drafted"),"Send first message",IF(OR(M88="Won",M88="Lost",M88="No Response"),"Archive / no action",IF(AND(H88&lt;&gt;"",J88="",I88&lt;=TODAY()),"Send follow-up 1",IF(AND(H88&lt;&gt;"",J88&lt;&gt;"",L88="",K88&lt;=TODAY()),"Send final follow-up",IF(M88="Interested","Send 3-point mini-audit",IF(M88="Audit Sent","Schedule call / proposal","Monitor"))))))</x:f>
        <x:v>Monitor</x:v>
      </x:c>
      <x:c r="R88" t="str">
        <x:f>IF(H88="","",TODAY()-H88)</x:f>
      </x:c>
    </x:row>
    <x:row r="89">
      <x:c r="I89" t="str">
        <x:f>IF(H89="","",IF(OR(F89="Facebook",F89="FB",F89="Message"),WORKDAY(H89,4),WORKDAY(H89,3)))</x:f>
      </x:c>
      <x:c r="K89" t="str">
        <x:f>IF(H89="","",WORKDAY(H89,8))</x:f>
      </x:c>
      <x:c r="Q89" t="str">
        <x:f>IF(OR(M89="Not Contacted",M89="Drafted"),"Send first message",IF(OR(M89="Won",M89="Lost",M89="No Response"),"Archive / no action",IF(AND(H89&lt;&gt;"",J89="",I89&lt;=TODAY()),"Send follow-up 1",IF(AND(H89&lt;&gt;"",J89&lt;&gt;"",L89="",K89&lt;=TODAY()),"Send final follow-up",IF(M89="Interested","Send 3-point mini-audit",IF(M89="Audit Sent","Schedule call / proposal","Monitor"))))))</x:f>
        <x:v>Monitor</x:v>
      </x:c>
      <x:c r="R89" t="str">
        <x:f>IF(H89="","",TODAY()-H89)</x:f>
      </x:c>
    </x:row>
    <x:row r="90">
      <x:c r="I90" t="str">
        <x:f>IF(H90="","",IF(OR(F90="Facebook",F90="FB",F90="Message"),WORKDAY(H90,4),WORKDAY(H90,3)))</x:f>
      </x:c>
      <x:c r="K90" t="str">
        <x:f>IF(H90="","",WORKDAY(H90,8))</x:f>
      </x:c>
      <x:c r="Q90" t="str">
        <x:f>IF(OR(M90="Not Contacted",M90="Drafted"),"Send first message",IF(OR(M90="Won",M90="Lost",M90="No Response"),"Archive / no action",IF(AND(H90&lt;&gt;"",J90="",I90&lt;=TODAY()),"Send follow-up 1",IF(AND(H90&lt;&gt;"",J90&lt;&gt;"",L90="",K90&lt;=TODAY()),"Send final follow-up",IF(M90="Interested","Send 3-point mini-audit",IF(M90="Audit Sent","Schedule call / proposal","Monitor"))))))</x:f>
        <x:v>Monitor</x:v>
      </x:c>
      <x:c r="R90" t="str">
        <x:f>IF(H90="","",TODAY()-H90)</x:f>
      </x:c>
    </x:row>
    <x:row r="91">
      <x:c r="I91" t="str">
        <x:f>IF(H91="","",IF(OR(F91="Facebook",F91="FB",F91="Message"),WORKDAY(H91,4),WORKDAY(H91,3)))</x:f>
      </x:c>
      <x:c r="K91" t="str">
        <x:f>IF(H91="","",WORKDAY(H91,8))</x:f>
      </x:c>
      <x:c r="Q91" t="str">
        <x:f>IF(OR(M91="Not Contacted",M91="Drafted"),"Send first message",IF(OR(M91="Won",M91="Lost",M91="No Response"),"Archive / no action",IF(AND(H91&lt;&gt;"",J91="",I91&lt;=TODAY()),"Send follow-up 1",IF(AND(H91&lt;&gt;"",J91&lt;&gt;"",L91="",K91&lt;=TODAY()),"Send final follow-up",IF(M91="Interested","Send 3-point mini-audit",IF(M91="Audit Sent","Schedule call / proposal","Monitor"))))))</x:f>
        <x:v>Monitor</x:v>
      </x:c>
      <x:c r="R91" t="str">
        <x:f>IF(H91="","",TODAY()-H91)</x:f>
      </x:c>
    </x:row>
    <x:row r="92">
      <x:c r="I92" t="str">
        <x:f>IF(H92="","",IF(OR(F92="Facebook",F92="FB",F92="Message"),WORKDAY(H92,4),WORKDAY(H92,3)))</x:f>
      </x:c>
      <x:c r="K92" t="str">
        <x:f>IF(H92="","",WORKDAY(H92,8))</x:f>
      </x:c>
      <x:c r="Q92" t="str">
        <x:f>IF(OR(M92="Not Contacted",M92="Drafted"),"Send first message",IF(OR(M92="Won",M92="Lost",M92="No Response"),"Archive / no action",IF(AND(H92&lt;&gt;"",J92="",I92&lt;=TODAY()),"Send follow-up 1",IF(AND(H92&lt;&gt;"",J92&lt;&gt;"",L92="",K92&lt;=TODAY()),"Send final follow-up",IF(M92="Interested","Send 3-point mini-audit",IF(M92="Audit Sent","Schedule call / proposal","Monitor"))))))</x:f>
        <x:v>Monitor</x:v>
      </x:c>
      <x:c r="R92" t="str">
        <x:f>IF(H92="","",TODAY()-H92)</x:f>
      </x:c>
    </x:row>
    <x:row r="93">
      <x:c r="I93" t="str">
        <x:f>IF(H93="","",IF(OR(F93="Facebook",F93="FB",F93="Message"),WORKDAY(H93,4),WORKDAY(H93,3)))</x:f>
      </x:c>
      <x:c r="K93" t="str">
        <x:f>IF(H93="","",WORKDAY(H93,8))</x:f>
      </x:c>
      <x:c r="Q93" t="str">
        <x:f>IF(OR(M93="Not Contacted",M93="Drafted"),"Send first message",IF(OR(M93="Won",M93="Lost",M93="No Response"),"Archive / no action",IF(AND(H93&lt;&gt;"",J93="",I93&lt;=TODAY()),"Send follow-up 1",IF(AND(H93&lt;&gt;"",J93&lt;&gt;"",L93="",K93&lt;=TODAY()),"Send final follow-up",IF(M93="Interested","Send 3-point mini-audit",IF(M93="Audit Sent","Schedule call / proposal","Monitor"))))))</x:f>
        <x:v>Monitor</x:v>
      </x:c>
      <x:c r="R93" t="str">
        <x:f>IF(H93="","",TODAY()-H93)</x:f>
      </x:c>
    </x:row>
    <x:row r="94">
      <x:c r="I94" t="str">
        <x:f>IF(H94="","",IF(OR(F94="Facebook",F94="FB",F94="Message"),WORKDAY(H94,4),WORKDAY(H94,3)))</x:f>
      </x:c>
      <x:c r="K94" t="str">
        <x:f>IF(H94="","",WORKDAY(H94,8))</x:f>
      </x:c>
      <x:c r="Q94" t="str">
        <x:f>IF(OR(M94="Not Contacted",M94="Drafted"),"Send first message",IF(OR(M94="Won",M94="Lost",M94="No Response"),"Archive / no action",IF(AND(H94&lt;&gt;"",J94="",I94&lt;=TODAY()),"Send follow-up 1",IF(AND(H94&lt;&gt;"",J94&lt;&gt;"",L94="",K94&lt;=TODAY()),"Send final follow-up",IF(M94="Interested","Send 3-point mini-audit",IF(M94="Audit Sent","Schedule call / proposal","Monitor"))))))</x:f>
        <x:v>Monitor</x:v>
      </x:c>
      <x:c r="R94" t="str">
        <x:f>IF(H94="","",TODAY()-H94)</x:f>
      </x:c>
    </x:row>
    <x:row r="95">
      <x:c r="I95" t="str">
        <x:f>IF(H95="","",IF(OR(F95="Facebook",F95="FB",F95="Message"),WORKDAY(H95,4),WORKDAY(H95,3)))</x:f>
      </x:c>
      <x:c r="K95" t="str">
        <x:f>IF(H95="","",WORKDAY(H95,8))</x:f>
      </x:c>
      <x:c r="Q95" t="str">
        <x:f>IF(OR(M95="Not Contacted",M95="Drafted"),"Send first message",IF(OR(M95="Won",M95="Lost",M95="No Response"),"Archive / no action",IF(AND(H95&lt;&gt;"",J95="",I95&lt;=TODAY()),"Send follow-up 1",IF(AND(H95&lt;&gt;"",J95&lt;&gt;"",L95="",K95&lt;=TODAY()),"Send final follow-up",IF(M95="Interested","Send 3-point mini-audit",IF(M95="Audit Sent","Schedule call / proposal","Monitor"))))))</x:f>
        <x:v>Monitor</x:v>
      </x:c>
      <x:c r="R95" t="str">
        <x:f>IF(H95="","",TODAY()-H95)</x:f>
      </x:c>
    </x:row>
    <x:row r="96">
      <x:c r="I96" t="str">
        <x:f>IF(H96="","",IF(OR(F96="Facebook",F96="FB",F96="Message"),WORKDAY(H96,4),WORKDAY(H96,3)))</x:f>
      </x:c>
      <x:c r="K96" t="str">
        <x:f>IF(H96="","",WORKDAY(H96,8))</x:f>
      </x:c>
      <x:c r="Q96" t="str">
        <x:f>IF(OR(M96="Not Contacted",M96="Drafted"),"Send first message",IF(OR(M96="Won",M96="Lost",M96="No Response"),"Archive / no action",IF(AND(H96&lt;&gt;"",J96="",I96&lt;=TODAY()),"Send follow-up 1",IF(AND(H96&lt;&gt;"",J96&lt;&gt;"",L96="",K96&lt;=TODAY()),"Send final follow-up",IF(M96="Interested","Send 3-point mini-audit",IF(M96="Audit Sent","Schedule call / proposal","Monitor"))))))</x:f>
        <x:v>Monitor</x:v>
      </x:c>
      <x:c r="R96" t="str">
        <x:f>IF(H96="","",TODAY()-H96)</x:f>
      </x:c>
    </x:row>
    <x:row r="97">
      <x:c r="I97" t="str">
        <x:f>IF(H97="","",IF(OR(F97="Facebook",F97="FB",F97="Message"),WORKDAY(H97,4),WORKDAY(H97,3)))</x:f>
      </x:c>
      <x:c r="K97" t="str">
        <x:f>IF(H97="","",WORKDAY(H97,8))</x:f>
      </x:c>
      <x:c r="Q97" t="str">
        <x:f>IF(OR(M97="Not Contacted",M97="Drafted"),"Send first message",IF(OR(M97="Won",M97="Lost",M97="No Response"),"Archive / no action",IF(AND(H97&lt;&gt;"",J97="",I97&lt;=TODAY()),"Send follow-up 1",IF(AND(H97&lt;&gt;"",J97&lt;&gt;"",L97="",K97&lt;=TODAY()),"Send final follow-up",IF(M97="Interested","Send 3-point mini-audit",IF(M97="Audit Sent","Schedule call / proposal","Monitor"))))))</x:f>
        <x:v>Monitor</x:v>
      </x:c>
      <x:c r="R97" t="str">
        <x:f>IF(H97="","",TODAY()-H97)</x:f>
      </x:c>
    </x:row>
    <x:row r="98">
      <x:c r="I98" t="str">
        <x:f>IF(H98="","",IF(OR(F98="Facebook",F98="FB",F98="Message"),WORKDAY(H98,4),WORKDAY(H98,3)))</x:f>
      </x:c>
      <x:c r="K98" t="str">
        <x:f>IF(H98="","",WORKDAY(H98,8))</x:f>
      </x:c>
      <x:c r="Q98" t="str">
        <x:f>IF(OR(M98="Not Contacted",M98="Drafted"),"Send first message",IF(OR(M98="Won",M98="Lost",M98="No Response"),"Archive / no action",IF(AND(H98&lt;&gt;"",J98="",I98&lt;=TODAY()),"Send follow-up 1",IF(AND(H98&lt;&gt;"",J98&lt;&gt;"",L98="",K98&lt;=TODAY()),"Send final follow-up",IF(M98="Interested","Send 3-point mini-audit",IF(M98="Audit Sent","Schedule call / proposal","Monitor"))))))</x:f>
        <x:v>Monitor</x:v>
      </x:c>
      <x:c r="R98" t="str">
        <x:f>IF(H98="","",TODAY()-H98)</x:f>
      </x:c>
    </x:row>
    <x:row r="99">
      <x:c r="I99" t="str">
        <x:f>IF(H99="","",IF(OR(F99="Facebook",F99="FB",F99="Message"),WORKDAY(H99,4),WORKDAY(H99,3)))</x:f>
      </x:c>
      <x:c r="K99" t="str">
        <x:f>IF(H99="","",WORKDAY(H99,8))</x:f>
      </x:c>
      <x:c r="Q99" t="str">
        <x:f>IF(OR(M99="Not Contacted",M99="Drafted"),"Send first message",IF(OR(M99="Won",M99="Lost",M99="No Response"),"Archive / no action",IF(AND(H99&lt;&gt;"",J99="",I99&lt;=TODAY()),"Send follow-up 1",IF(AND(H99&lt;&gt;"",J99&lt;&gt;"",L99="",K99&lt;=TODAY()),"Send final follow-up",IF(M99="Interested","Send 3-point mini-audit",IF(M99="Audit Sent","Schedule call / proposal","Monitor"))))))</x:f>
        <x:v>Monitor</x:v>
      </x:c>
      <x:c r="R99" t="str">
        <x:f>IF(H99="","",TODAY()-H99)</x:f>
      </x:c>
    </x:row>
    <x:row r="100">
      <x:c r="I100" t="str">
        <x:f>IF(H100="","",IF(OR(F100="Facebook",F100="FB",F100="Message"),WORKDAY(H100,4),WORKDAY(H100,3)))</x:f>
      </x:c>
      <x:c r="K100" t="str">
        <x:f>IF(H100="","",WORKDAY(H100,8))</x:f>
      </x:c>
      <x:c r="Q100" t="str">
        <x:f>IF(OR(M100="Not Contacted",M100="Drafted"),"Send first message",IF(OR(M100="Won",M100="Lost",M100="No Response"),"Archive / no action",IF(AND(H100&lt;&gt;"",J100="",I100&lt;=TODAY()),"Send follow-up 1",IF(AND(H100&lt;&gt;"",J100&lt;&gt;"",L100="",K100&lt;=TODAY()),"Send final follow-up",IF(M100="Interested","Send 3-point mini-audit",IF(M100="Audit Sent","Schedule call / proposal","Monitor"))))))</x:f>
        <x:v>Monitor</x:v>
      </x:c>
      <x:c r="R100" t="str">
        <x:f>IF(H100="","",TODAY()-H100)</x:f>
      </x:c>
    </x:row>
    <x:row r="101">
      <x:c r="I101" t="str">
        <x:f>IF(H101="","",IF(OR(F101="Facebook",F101="FB",F101="Message"),WORKDAY(H101,4),WORKDAY(H101,3)))</x:f>
      </x:c>
      <x:c r="K101" t="str">
        <x:f>IF(H101="","",WORKDAY(H101,8))</x:f>
      </x:c>
      <x:c r="Q101" t="str">
        <x:f>IF(OR(M101="Not Contacted",M101="Drafted"),"Send first message",IF(OR(M101="Won",M101="Lost",M101="No Response"),"Archive / no action",IF(AND(H101&lt;&gt;"",J101="",I101&lt;=TODAY()),"Send follow-up 1",IF(AND(H101&lt;&gt;"",J101&lt;&gt;"",L101="",K101&lt;=TODAY()),"Send final follow-up",IF(M101="Interested","Send 3-point mini-audit",IF(M101="Audit Sent","Schedule call / proposal","Monitor"))))))</x:f>
        <x:v>Monitor</x:v>
      </x:c>
      <x:c r="R101" t="str">
        <x:f>IF(H101="","",TODAY()-H101)</x:f>
      </x:c>
    </x:row>
  </x:sheetData>
  <x:conditionalFormatting sqref="A2:R101">
    <x:cfRule type="expression" dxfId="0" priority="1">
      <x:formula>AND($I2&lt;=TODAY(),$J2="",$H2&lt;&gt;"",NOT(OR($M2="Won",$M2="Lost",$M2="No Response")))</x:formula>
    </x:cfRule>
    <x:cfRule type="expression" dxfId="1" priority="2">
      <x:formula>AND($K2&lt;=TODAY(),$L2="",$J2&lt;&gt;"",NOT(OR($M2="Won",$M2="Lost",$M2="No Response")))</x:formula>
    </x:cfRule>
    <x:cfRule type="expression" dxfId="2" priority="3">
      <x:formula>OR($M2="Won",$M2="Interested",$M2="Call Scheduled",$M2="Proposal Sent")</x:formula>
    </x:cfRule>
    <x:cfRule type="expression" dxfId="3" priority="4">
      <x:formula>OR($M2="Lost",$M2="No Response")</x:formula>
    </x:cfRule>
  </x:conditionalFormatting>
  <x:dataValidations count="5">
    <x:dataValidation type="list" sqref="M2:M101">
      <x:formula1>Lists!$A$2:$A$15</x:formula1>
    </x:dataValidation>
    <x:dataValidation type="list" sqref="N2:N101">
      <x:formula1>Lists!$B$2:$B$4</x:formula1>
    </x:dataValidation>
    <x:dataValidation type="list" sqref="F2:F101">
      <x:formula1>Lists!$C$2:$C$7</x:formula1>
    </x:dataValidation>
    <x:dataValidation type="list" sqref="O2:O101">
      <x:formula1>Lists!$D$2:$D$10</x:formula1>
    </x:dataValidation>
    <x:dataValidation type="list" sqref="B2:B101">
      <x:formula1>Lists!$E$2:$E$12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ecced0d45f4d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</x:cols>
  <x:sheetData>
    <x:row r="1" ht="32" customHeight="1">
      <x:c r="A1" s="32" t="str">
        <x:v>Kyroscoe Local Outreach Dashboard</x:v>
      </x:c>
      <x:c r="B1" s="32"/>
      <x:c r="C1" s="32"/>
      <x:c r="D1" s="32"/>
      <x:c r="E1" s="32"/>
      <x:c r="F1" s="33"/>
      <x:c r="G1" s="33"/>
      <x:c r="H1" s="32"/>
    </x:row>
    <x:row r="3">
      <x:c r="A3" s="4" t="str">
        <x:v>Metric</x:v>
      </x:c>
      <x:c r="B3" s="4" t="str">
        <x:v>Count</x:v>
      </x:c>
      <x:c r="D3" s="4" t="str">
        <x:v>Today / Overdue Follow-Up Queue</x:v>
      </x:c>
      <x:c r="E3" s="4"/>
      <x:c r="F3" s="4"/>
      <x:c r="G3" s="4"/>
      <x:c r="H3" s="4"/>
    </x:row>
    <x:row r="4">
      <x:c r="A4" s="38" t="str">
        <x:v>Total Prospects</x:v>
      </x:c>
      <x:c r="B4" s="36" t="n">
        <x:f>COUNTA(Prospects!A2:A101)</x:f>
        <x:v>12</x:v>
      </x:c>
      <x:c r="D4" s="26" t="str">
        <x:v>Business</x:v>
      </x:c>
      <x:c r="E4" s="26" t="str">
        <x:v>Channel</x:v>
      </x:c>
      <x:c r="F4" s="26" t="str">
        <x:v>Follow-Up 1 Due</x:v>
      </x:c>
      <x:c r="G4" s="26" t="str">
        <x:v>Final Due</x:v>
      </x:c>
      <x:c r="H4" s="26" t="str">
        <x:v>Next Action</x:v>
      </x:c>
    </x:row>
    <x:row r="5">
      <x:c r="A5" s="38" t="str">
        <x:v>Sent</x:v>
      </x:c>
      <x:c r="B5" s="36" t="n">
        <x:f>COUNTIF(Prospects!M2:M101,"Sent")</x:f>
        <x:v>3</x:v>
      </x:c>
      <x:c r="D5" s="38" t="str">
        <x:f>FILTER(CHOOSE({1,2,3,4,5},Prospects!A2:A101,Prospects!F2:F101,Prospects!I2:I101,Prospects!K2:K101,Prospects!Q2:Q101),(Prospects!Q2:Q101="Send follow-up 1")+(Prospects!Q2:Q101="Send final follow-up"),"No follow-ups due")</x:f>
        <x:v>No follow-ups due</x:v>
      </x:c>
      <x:c r="E5" s="38"/>
      <x:c r="F5" s="38"/>
      <x:c r="G5" s="38"/>
      <x:c r="H5" s="38"/>
    </x:row>
    <x:row r="6">
      <x:c r="A6" s="38" t="str">
        <x:v>Due Today / Overdue</x:v>
      </x:c>
      <x:c r="B6" s="36" t="n">
        <x:f>COUNTIF(Prospects!Q2:Q101,"Send follow-up 1")+COUNTIF(Prospects!Q2:Q101,"Send final follow-up")</x:f>
        <x:v>0</x:v>
      </x:c>
      <x:c r="D6" s="38"/>
      <x:c r="E6" s="38"/>
      <x:c r="F6" s="38"/>
      <x:c r="G6" s="38"/>
      <x:c r="H6" s="38"/>
    </x:row>
    <x:row r="7">
      <x:c r="A7" s="38" t="str">
        <x:v>Interested / Active</x:v>
      </x:c>
      <x:c r="B7" s="36" t="n">
        <x:f>COUNTIF(Prospects!M2:M101,"Interested")+COUNTIF(Prospects!M2:M101,"Audit Sent")+COUNTIF(Prospects!M2:M101,"Call Scheduled")+COUNTIF(Prospects!M2:M101,"Proposal Sent")</x:f>
        <x:v>0</x:v>
      </x:c>
      <x:c r="D7" s="38"/>
      <x:c r="E7" s="38"/>
      <x:c r="F7" s="38"/>
      <x:c r="G7" s="38"/>
      <x:c r="H7" s="38"/>
    </x:row>
    <x:row r="8">
      <x:c r="A8" s="38" t="str">
        <x:v>Won</x:v>
      </x:c>
      <x:c r="B8" s="36" t="n">
        <x:f>COUNTIF(Prospects!M2:M101,"Won")</x:f>
        <x:v>0</x:v>
      </x:c>
      <x:c r="D8" s="38"/>
      <x:c r="E8" s="38"/>
      <x:c r="F8" s="38"/>
      <x:c r="G8" s="38"/>
      <x:c r="H8" s="38"/>
    </x:row>
    <x:row r="9">
      <x:c r="A9" s="38" t="str">
        <x:v>No Response / Lost</x:v>
      </x:c>
      <x:c r="B9" s="36" t="n">
        <x:f>COUNTIF(Prospects!M2:M101,"No Response")+COUNTIF(Prospects!M2:M101,"Lost")</x:f>
        <x:v>0</x:v>
      </x:c>
      <x:c r="D9" s="38"/>
      <x:c r="E9" s="38"/>
      <x:c r="F9" s="38"/>
      <x:c r="G9" s="38"/>
      <x:c r="H9" s="38"/>
    </x:row>
    <x:row r="10">
      <x:c r="A10" s="38" t="str">
        <x:v>Not Contacted or Drafted</x:v>
      </x:c>
      <x:c r="B10" s="36" t="n">
        <x:f>COUNTIF(Prospects!M2:M101,"Not Contacted")+COUNTIF(Prospects!M2:M101,"Drafted")</x:f>
        <x:v>9</x:v>
      </x:c>
      <x:c r="D10" s="38"/>
      <x:c r="E10" s="38"/>
      <x:c r="F10" s="38"/>
      <x:c r="G10" s="38"/>
      <x:c r="H10" s="38"/>
    </x:row>
    <x:row r="11">
      <x:c r="D11" s="38"/>
      <x:c r="E11" s="38"/>
      <x:c r="F11" s="38"/>
      <x:c r="G11" s="38"/>
      <x:c r="H11" s="38"/>
    </x:row>
    <x:row r="12">
      <x:c r="A12" s="3" t="str">
        <x:v>Cadence</x:v>
      </x:c>
      <x:c r="B12" s="3"/>
      <x:c r="C12" s="3"/>
      <x:c r="D12" s="3"/>
      <x:c r="E12" s="3"/>
      <x:c r="F12" s="3"/>
      <x:c r="G12" s="3"/>
      <x:c r="H12" s="3"/>
    </x:row>
    <x:row r="13">
      <x:c r="A13" t="str">
        <x:v>Email follow-up</x:v>
      </x:c>
      <x:c r="B13" t="str">
        <x:v>2–3 business days after first message</x:v>
      </x:c>
      <x:c r="C13" t="str"/>
      <x:c r="D13" s="38" t="str"/>
      <x:c r="E13" s="38" t="str"/>
      <x:c r="F13" s="38" t="str"/>
      <x:c r="G13" s="38" t="str"/>
      <x:c r="H13" s="38" t="str"/>
    </x:row>
    <x:row r="14">
      <x:c r="A14" t="str">
        <x:v>Facebook/message follow-up</x:v>
      </x:c>
      <x:c r="B14" t="str">
        <x:v>3–4 business days after first message</x:v>
      </x:c>
      <x:c r="C14" t="str"/>
      <x:c r="D14" s="38" t="str"/>
      <x:c r="E14" s="38" t="str"/>
      <x:c r="F14" s="38" t="str"/>
      <x:c r="G14" s="38" t="str"/>
      <x:c r="H14" s="38" t="str"/>
    </x:row>
    <x:row r="15">
      <x:c r="A15" t="str">
        <x:v>Final follow-up</x:v>
      </x:c>
      <x:c r="B15" t="str">
        <x:v>7–8 business days after first message</x:v>
      </x:c>
      <x:c r="C15" t="str"/>
      <x:c r="D15" s="38" t="str"/>
      <x:c r="E15" s="38" t="str"/>
      <x:c r="F15" s="38" t="str"/>
      <x:c r="G15" s="38" t="str"/>
      <x:c r="H15" s="38" t="str"/>
    </x:row>
    <x:row r="16">
      <x:c r="A16" t="str">
        <x:v>After final follow-up</x:v>
      </x:c>
      <x:c r="B16" t="str">
        <x:v>Mark No Response unless they engage</x:v>
      </x:c>
      <x:c r="C16" t="str"/>
      <x:c r="D16" s="38" t="str"/>
      <x:c r="E16" s="38" t="str"/>
      <x:c r="F16" s="38" t="str"/>
      <x:c r="G16" s="38" t="str"/>
      <x:c r="H16" s="38" t="str"/>
    </x:row>
    <x:row r="17">
      <x:c r="D17" s="38"/>
      <x:c r="E17" s="38"/>
      <x:c r="F17" s="38"/>
      <x:c r="G17" s="38"/>
      <x:c r="H17" s="38"/>
    </x:row>
    <x:row r="18">
      <x:c r="D18" s="38"/>
      <x:c r="E18" s="38"/>
      <x:c r="F18" s="38"/>
      <x:c r="G18" s="38"/>
      <x:c r="H18" s="38"/>
    </x:row>
    <x:row r="19">
      <x:c r="D19" s="38"/>
      <x:c r="E19" s="38"/>
      <x:c r="F19" s="38"/>
      <x:c r="G19" s="38"/>
      <x:c r="H19" s="38"/>
    </x:row>
    <x:row r="20">
      <x:c r="D20" s="38"/>
      <x:c r="E20" s="38"/>
      <x:c r="F20" s="38"/>
      <x:c r="G20" s="38"/>
      <x:c r="H20" s="38"/>
    </x:row>
    <x:row r="21">
      <x:c r="D21" s="38"/>
      <x:c r="E21" s="38"/>
      <x:c r="F21" s="38"/>
      <x:c r="G21" s="38"/>
      <x:c r="H21" s="38"/>
    </x:row>
    <x:row r="22">
      <x:c r="D22" s="38"/>
      <x:c r="E22" s="38"/>
      <x:c r="F22" s="38"/>
      <x:c r="G22" s="38"/>
      <x:c r="H22" s="38"/>
    </x:row>
    <x:row r="23">
      <x:c r="D23" s="38"/>
      <x:c r="E23" s="38"/>
      <x:c r="F23" s="38"/>
      <x:c r="G23" s="38"/>
      <x:c r="H23" s="38"/>
    </x:row>
    <x:row r="24">
      <x:c r="D24" s="38"/>
      <x:c r="E24" s="38"/>
      <x:c r="F24" s="38"/>
      <x:c r="G24" s="38"/>
      <x:c r="H24" s="38"/>
    </x:row>
    <x:row r="25">
      <x:c r="D25" s="38"/>
      <x:c r="E25" s="38"/>
      <x:c r="F25" s="38"/>
      <x:c r="G25" s="38"/>
      <x:c r="H25" s="38"/>
    </x:row>
  </x:sheetData>
  <x:mergeCells>
    <x:mergeCell ref="A1:H1"/>
    <x:mergeCell ref="D3:H3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Status</x:v>
      </x:c>
      <x:c r="B1" s="10" t="str">
        <x:v>Priority</x:v>
      </x:c>
      <x:c r="C1" s="10" t="str">
        <x:v>Channel</x:v>
      </x:c>
      <x:c r="D1" s="10" t="str">
        <x:v>Opportunity Type</x:v>
      </x:c>
      <x:c r="E1" s="10" t="str">
        <x:v>Category</x:v>
      </x:c>
    </x:row>
    <x:row r="2">
      <x:c r="A2" t="str">
        <x:v>Not Contacted</x:v>
      </x:c>
      <x:c r="B2" t="str">
        <x:v>High</x:v>
      </x:c>
      <x:c r="C2" t="str">
        <x:v>Email</x:v>
      </x:c>
      <x:c r="D2" t="str">
        <x:v>Website</x:v>
      </x:c>
      <x:c r="E2" t="str">
        <x:v>Construction</x:v>
      </x:c>
    </x:row>
    <x:row r="3">
      <x:c r="A3" t="str">
        <x:v>Drafted</x:v>
      </x:c>
      <x:c r="B3" t="str">
        <x:v>Medium</x:v>
      </x:c>
      <x:c r="C3" t="str">
        <x:v>Facebook</x:v>
      </x:c>
      <x:c r="D3" t="str">
        <x:v>Website Refresh</x:v>
      </x:c>
      <x:c r="E3" t="str">
        <x:v>Surveying</x:v>
      </x:c>
    </x:row>
    <x:row r="4">
      <x:c r="A4" t="str">
        <x:v>Sent</x:v>
      </x:c>
      <x:c r="B4" t="str">
        <x:v>Low</x:v>
      </x:c>
      <x:c r="C4" t="str">
        <x:v>Phone</x:v>
      </x:c>
      <x:c r="D4" t="str">
        <x:v>Google Business Profile</x:v>
      </x:c>
      <x:c r="E4" t="str">
        <x:v>Cafe</x:v>
      </x:c>
    </x:row>
    <x:row r="5">
      <x:c r="A5" t="str">
        <x:v>Follow-Up 1 Due</x:v>
      </x:c>
      <x:c r="B5"/>
      <x:c r="C5" t="str">
        <x:v>Website Form</x:v>
      </x:c>
      <x:c r="D5" t="str">
        <x:v>Email / Domain</x:v>
      </x:c>
      <x:c r="E5" t="str">
        <x:v>Market/Retail</x:v>
      </x:c>
    </x:row>
    <x:row r="6">
      <x:c r="A6" t="str">
        <x:v>Follow-Up 1 Sent</x:v>
      </x:c>
      <x:c r="B6"/>
      <x:c r="C6" t="str">
        <x:v>LinkedIn</x:v>
      </x:c>
      <x:c r="D6" t="str">
        <x:v>IT Support</x:v>
      </x:c>
      <x:c r="E6" t="str">
        <x:v>Pet Services</x:v>
      </x:c>
    </x:row>
    <x:row r="7">
      <x:c r="A7" t="str">
        <x:v>Final Follow-Up Due</x:v>
      </x:c>
      <x:c r="B7"/>
      <x:c r="C7" t="str">
        <x:v>Other</x:v>
      </x:c>
      <x:c r="D7" t="str">
        <x:v>Security Cleanup</x:v>
      </x:c>
      <x:c r="E7" t="str">
        <x:v>Tree Service</x:v>
      </x:c>
    </x:row>
    <x:row r="8">
      <x:c r="A8" t="str">
        <x:v>Final Follow-Up Sent</x:v>
      </x:c>
      <x:c r="B8"/>
      <x:c r="C8"/>
      <x:c r="D8" t="str">
        <x:v>Lead Flow</x:v>
      </x:c>
      <x:c r="E8" t="str">
        <x:v>Engineering/Fabrication</x:v>
      </x:c>
    </x:row>
    <x:row r="9">
      <x:c r="A9" t="str">
        <x:v>Interested</x:v>
      </x:c>
      <x:c r="B9"/>
      <x:c r="C9"/>
      <x:c r="D9" t="str">
        <x:v>Social / Content</x:v>
      </x:c>
      <x:c r="E9" t="str">
        <x:v>Shoe Repair</x:v>
      </x:c>
    </x:row>
    <x:row r="10">
      <x:c r="A10" t="str">
        <x:v>Audit Sent</x:v>
      </x:c>
      <x:c r="B10"/>
      <x:c r="C10"/>
      <x:c r="D10" t="str">
        <x:v>Unknown</x:v>
      </x:c>
      <x:c r="E10" t="str">
        <x:v>Restaurant</x:v>
      </x:c>
    </x:row>
    <x:row r="11">
      <x:c r="A11" t="str">
        <x:v>Call Scheduled</x:v>
      </x:c>
      <x:c r="B11"/>
      <x:c r="C11"/>
      <x:c r="D11"/>
      <x:c r="E11" t="str">
        <x:v>Roofing</x:v>
      </x:c>
    </x:row>
    <x:row r="12">
      <x:c r="A12" t="str">
        <x:v>Proposal Sent</x:v>
      </x:c>
      <x:c r="B12"/>
      <x:c r="C12"/>
      <x:c r="D12"/>
      <x:c r="E12" t="str">
        <x:v>Electrical</x:v>
      </x:c>
    </x:row>
    <x:row r="13">
      <x:c r="A13" t="str">
        <x:v>Won</x:v>
      </x:c>
      <x:c r="B13"/>
      <x:c r="C13"/>
      <x:c r="D13"/>
      <x:c r="E13"/>
    </x:row>
    <x:row r="14">
      <x:c r="A14" t="str">
        <x:v>Lost</x:v>
      </x:c>
      <x:c r="B14"/>
      <x:c r="C14"/>
      <x:c r="D14"/>
      <x:c r="E14"/>
    </x:row>
    <x:row r="15">
      <x:c r="A15" t="str">
        <x:v>No Response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8" hidden="0" customWidth="1"/>
    <x:col min="5" max="5" width="28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42" hidden="0" customWidth="1"/>
    <x:col min="17" max="17" width="26" hidden="0" customWidth="1"/>
    <x:col min="18" max="18" width="14" hidden="0" customWidth="1"/>
  </x:cols>
  <x:sheetData>
    <x:row r="1">
      <x:c r="A1" s="10" t="str">
        <x:v>Business Name</x:v>
      </x:c>
      <x:c r="B1" s="10" t="str">
        <x:v>Category</x:v>
      </x:c>
      <x:c r="C1" s="10" t="str">
        <x:v>Website</x:v>
      </x:c>
      <x:c r="D1" s="10" t="str">
        <x:v>Contact Name</x:v>
      </x:c>
      <x:c r="E1" s="10" t="str">
        <x:v>Email / Phone / FB</x:v>
      </x:c>
      <x:c r="F1" s="10" t="str">
        <x:v>Channel</x:v>
      </x:c>
      <x:c r="G1" s="10" t="str">
        <x:v>Source URL</x:v>
      </x:c>
      <x:c r="H1" s="10" t="str">
        <x:v>First Message Sent</x:v>
      </x:c>
      <x:c r="I1" s="10" t="str">
        <x:v>Follow-Up 1 Due</x:v>
      </x:c>
      <x:c r="J1" s="10" t="str">
        <x:v>Follow-Up 1 Sent</x:v>
      </x:c>
      <x:c r="K1" s="10" t="str">
        <x:v>Final Follow-Up Due</x:v>
      </x:c>
      <x:c r="L1" s="10" t="str">
        <x:v>Final Follow-Up Sent</x:v>
      </x:c>
      <x:c r="M1" s="10" t="str">
        <x:v>Status</x:v>
      </x:c>
      <x:c r="N1" s="10" t="str">
        <x:v>Priority</x:v>
      </x:c>
      <x:c r="O1" s="10" t="str">
        <x:v>Opportunity Type</x:v>
      </x:c>
      <x:c r="P1" s="10" t="str">
        <x:v>Notes</x:v>
      </x:c>
      <x:c r="Q1" s="10" t="str">
        <x:v>Next Action</x:v>
      </x:c>
      <x:c r="R1" s="10" t="str">
        <x:v>Days Since Sent</x:v>
      </x:c>
    </x:row>
  </x:sheetData>
  <x:pageMargins left="0.7" right="0.7" top="0.75" bottom="0.75" header="0.3" footer="0.3"/>
</x:worksheet>
</file>